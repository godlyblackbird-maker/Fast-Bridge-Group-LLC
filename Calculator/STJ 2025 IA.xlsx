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ea277601-e986-4baf-94e4-7295feee1695\"/>
    </mc:Choice>
  </mc:AlternateContent>
  <xr:revisionPtr revIDLastSave="0" documentId="8_{76128118-A726-48CB-8458-A971C3EF0569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definedNames>
    <definedName name="DP_Expense">Sheet1!$S$11:$S$60</definedName>
    <definedName name="Estimated_Loan_Fees_1st">Sheet1!$D$16</definedName>
    <definedName name="Estimated_Project_Time">Sheet1!$E$2</definedName>
    <definedName name="Estimated_Sales_Price">Sheet1!$E$45</definedName>
    <definedName name="Expense_Type">Sheet1!$U$11:$U$60</definedName>
    <definedName name="Final_Sales_Price">Sheet1!$B$45</definedName>
    <definedName name="Financing_Type">Sheet1!$J$2</definedName>
    <definedName name="Fund_Control">Sheet1!$T$11:$T$60</definedName>
    <definedName name="HS_Buyers_Agent_Commissions_Credit">Sheet1!$P$25</definedName>
    <definedName name="HS_HOA_Fees_Credit">Sheet1!$P$46</definedName>
    <definedName name="HS_Listing_Agents_Commissions_Credit">Sheet1!$P$26</definedName>
    <definedName name="HS_Per_Diem_Adjustment_Credit">Sheet1!$P$4</definedName>
    <definedName name="HS_Per_Diem_Adjustment_Debit">Sheet1!$O$4</definedName>
    <definedName name="HS_Seller_Credits_Credit">Sheet1!$P$49</definedName>
    <definedName name="HSU_Expense">Sheet1!$R$11:$R$60</definedName>
    <definedName name="Interest_Rate_1st">Sheet1!$D$13</definedName>
    <definedName name="Loan_Fees___Appraisal_Fee_1st">Sheet1!$B$16</definedName>
    <definedName name="Loan_Origination_Fee_1st">Sheet1!$B$15</definedName>
    <definedName name="Net_Profit_to_HSUSA">Sheet1!$B$55</definedName>
    <definedName name="Points_1st_Loan">Sheet1!$D$15</definedName>
    <definedName name="Repair_Costs">Sheet1!$B$32</definedName>
    <definedName name="ROI_Adjustments">Sheet1!$B$36</definedName>
    <definedName name="Total_Lender_Costs">Sheet1!$B$30</definedName>
    <definedName name="Total_Purchase_Costs">Sheet1!$B$10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A4" i="1"/>
  <c r="A10" i="1" s="1"/>
  <c r="A5" i="1"/>
  <c r="I5" i="1"/>
  <c r="O5" i="1"/>
  <c r="P5" i="1"/>
  <c r="A6" i="1"/>
  <c r="J6" i="1"/>
  <c r="A7" i="1"/>
  <c r="R7" i="1"/>
  <c r="A8" i="1"/>
  <c r="O8" i="1"/>
  <c r="P8" i="1"/>
  <c r="R8" i="1"/>
  <c r="S8" i="1"/>
  <c r="T8" i="1"/>
  <c r="A9" i="1"/>
  <c r="J9" i="1"/>
  <c r="B10" i="1"/>
  <c r="R10" i="1"/>
  <c r="S10" i="1"/>
  <c r="J12" i="1"/>
  <c r="V12" i="1"/>
  <c r="W12" i="1"/>
  <c r="A13" i="1"/>
  <c r="L13" i="1"/>
  <c r="V13" i="1"/>
  <c r="W13" i="1" s="1"/>
  <c r="F14" i="1"/>
  <c r="B14" i="1" s="1"/>
  <c r="V14" i="1"/>
  <c r="W14" i="1" s="1"/>
  <c r="F15" i="1"/>
  <c r="V15" i="1"/>
  <c r="W15" i="1" s="1"/>
  <c r="A16" i="1"/>
  <c r="F16" i="1"/>
  <c r="L16" i="1"/>
  <c r="O16" i="1"/>
  <c r="P16" i="1"/>
  <c r="V16" i="1"/>
  <c r="W16" i="1"/>
  <c r="V17" i="1"/>
  <c r="W17" i="1" s="1"/>
  <c r="B27" i="1" s="1"/>
  <c r="A27" i="1" s="1"/>
  <c r="A18" i="1"/>
  <c r="F18" i="1"/>
  <c r="V18" i="1"/>
  <c r="W18" i="1"/>
  <c r="A19" i="1"/>
  <c r="O19" i="1"/>
  <c r="P19" i="1"/>
  <c r="V19" i="1"/>
  <c r="W19" i="1"/>
  <c r="J21" i="1"/>
  <c r="A23" i="1"/>
  <c r="B24" i="1"/>
  <c r="A24" i="1" s="1"/>
  <c r="O24" i="1"/>
  <c r="P24" i="1"/>
  <c r="D25" i="1"/>
  <c r="B25" i="1" s="1"/>
  <c r="A25" i="1" s="1"/>
  <c r="H25" i="1"/>
  <c r="J25" i="1" s="1"/>
  <c r="I25" i="1"/>
  <c r="B26" i="1"/>
  <c r="A26" i="1" s="1"/>
  <c r="D26" i="1"/>
  <c r="H26" i="1"/>
  <c r="H35" i="1" s="1"/>
  <c r="H27" i="1"/>
  <c r="J27" i="1"/>
  <c r="O27" i="1"/>
  <c r="P27" i="1"/>
  <c r="B28" i="1"/>
  <c r="A28" i="1" s="1"/>
  <c r="A29" i="1"/>
  <c r="J29" i="1"/>
  <c r="L29" i="1"/>
  <c r="J31" i="1"/>
  <c r="J28" i="1" s="1"/>
  <c r="O31" i="1"/>
  <c r="P31" i="1"/>
  <c r="A32" i="1"/>
  <c r="A33" i="1"/>
  <c r="A34" i="1"/>
  <c r="B34" i="1"/>
  <c r="J54" i="1" s="1"/>
  <c r="H34" i="1"/>
  <c r="J34" i="1"/>
  <c r="L34" i="1"/>
  <c r="J35" i="1"/>
  <c r="A36" i="1"/>
  <c r="A37" i="1"/>
  <c r="J37" i="1"/>
  <c r="L37" i="1"/>
  <c r="W37" i="1"/>
  <c r="W36" i="1" s="1"/>
  <c r="B38" i="1" s="1"/>
  <c r="O38" i="1"/>
  <c r="P38" i="1"/>
  <c r="A39" i="1"/>
  <c r="J39" i="1"/>
  <c r="B40" i="1"/>
  <c r="A40" i="1" s="1"/>
  <c r="J40" i="1"/>
  <c r="L40" i="1"/>
  <c r="J41" i="1"/>
  <c r="V41" i="1"/>
  <c r="W41" i="1"/>
  <c r="X41" i="1"/>
  <c r="Y41" i="1"/>
  <c r="Y38" i="1" s="1"/>
  <c r="B42" i="1"/>
  <c r="A42" i="1" s="1"/>
  <c r="L42" i="1"/>
  <c r="M42" i="1"/>
  <c r="O43" i="1"/>
  <c r="P43" i="1"/>
  <c r="J44" i="1"/>
  <c r="A45" i="1"/>
  <c r="I45" i="1"/>
  <c r="J45" i="1"/>
  <c r="B46" i="1"/>
  <c r="B53" i="1" s="1"/>
  <c r="I46" i="1"/>
  <c r="J46" i="1"/>
  <c r="O46" i="1"/>
  <c r="P46" i="1"/>
  <c r="E47" i="1"/>
  <c r="D47" i="1" s="1"/>
  <c r="J47" i="1"/>
  <c r="V47" i="1"/>
  <c r="W47" i="1" s="1"/>
  <c r="Y47" i="1" s="1"/>
  <c r="Y44" i="1" s="1"/>
  <c r="X47" i="1"/>
  <c r="B48" i="1"/>
  <c r="J48" i="1"/>
  <c r="B49" i="1"/>
  <c r="E49" i="1"/>
  <c r="D49" i="1" s="1"/>
  <c r="J49" i="1"/>
  <c r="O49" i="1"/>
  <c r="P49" i="1"/>
  <c r="B50" i="1"/>
  <c r="J50" i="1"/>
  <c r="B51" i="1"/>
  <c r="B52" i="1"/>
  <c r="I52" i="1"/>
  <c r="L52" i="1"/>
  <c r="M52" i="1"/>
  <c r="V52" i="1"/>
  <c r="X52" i="1" s="1"/>
  <c r="W52" i="1"/>
  <c r="I53" i="1"/>
  <c r="J55" i="1"/>
  <c r="J56" i="1"/>
  <c r="O56" i="1"/>
  <c r="P56" i="1"/>
  <c r="O61" i="1"/>
  <c r="P62" i="1" s="1"/>
  <c r="P61" i="1"/>
  <c r="S62" i="1"/>
  <c r="R65" i="1"/>
  <c r="R66" i="1"/>
  <c r="R67" i="1"/>
  <c r="Q68" i="1"/>
  <c r="Q69" i="1"/>
  <c r="S72" i="1"/>
  <c r="T72" i="1"/>
  <c r="J43" i="1" l="1"/>
  <c r="A14" i="1"/>
  <c r="A53" i="1"/>
  <c r="J57" i="1"/>
  <c r="E50" i="1"/>
  <c r="D50" i="1" s="1"/>
  <c r="R64" i="1"/>
  <c r="R62" i="1" s="1"/>
  <c r="R72" i="1" s="1"/>
  <c r="U72" i="1" s="1"/>
  <c r="A38" i="1"/>
  <c r="B41" i="1"/>
  <c r="B43" i="1" s="1"/>
  <c r="A43" i="1" s="1"/>
  <c r="J53" i="1"/>
  <c r="B15" i="1"/>
  <c r="F17" i="1"/>
  <c r="F20" i="1" s="1"/>
  <c r="J42" i="1" l="1"/>
  <c r="J51" i="1" s="1"/>
  <c r="A15" i="1"/>
  <c r="J52" i="1"/>
  <c r="J58" i="1" s="1"/>
  <c r="J59" i="1" s="1"/>
  <c r="A41" i="1"/>
  <c r="F21" i="1"/>
  <c r="F10" i="1" s="1"/>
  <c r="F9" i="1" s="1"/>
  <c r="B30" i="1"/>
  <c r="A30" i="1" l="1"/>
  <c r="E48" i="1"/>
  <c r="E51" i="1" l="1"/>
  <c r="D51" i="1" s="1"/>
  <c r="D48" i="1"/>
  <c r="B55" i="1"/>
  <c r="B57" i="1" l="1"/>
  <c r="A55" i="1"/>
  <c r="B58" i="1" l="1"/>
  <c r="B59" i="1" s="1"/>
  <c r="A57" i="1"/>
</calcChain>
</file>

<file path=xl/sharedStrings.xml><?xml version="1.0" encoding="utf-8"?>
<sst xmlns="http://schemas.openxmlformats.org/spreadsheetml/2006/main" count="347" uniqueCount="285">
  <si>
    <t>Date Created</t>
  </si>
  <si>
    <t>Created By:</t>
  </si>
  <si>
    <t>Final HUD -1 Purchase</t>
  </si>
  <si>
    <t>Closing Date:</t>
  </si>
  <si>
    <t>Final HUD-1 Resale</t>
  </si>
  <si>
    <t>Net Profits (FINAL - Checks Cut)</t>
  </si>
  <si>
    <t>Legend</t>
  </si>
  <si>
    <t>Address:</t>
  </si>
  <si>
    <t>Estimated Prelim</t>
  </si>
  <si>
    <t>Hard Money - Anchor</t>
  </si>
  <si>
    <t>Total Consideration</t>
  </si>
  <si>
    <t xml:space="preserve">Debits </t>
  </si>
  <si>
    <t>Credits</t>
  </si>
  <si>
    <t>HomeStrongUSA</t>
  </si>
  <si>
    <t xml:space="preserve">Developer Partner </t>
  </si>
  <si>
    <t xml:space="preserve">Fund Control </t>
  </si>
  <si>
    <t>TOTAL PURCHASE COST</t>
  </si>
  <si>
    <t>Net Purchase Price</t>
  </si>
  <si>
    <t>Gray = data input</t>
  </si>
  <si>
    <t>Adjustments to Purchase Price</t>
  </si>
  <si>
    <t>Purchase Price</t>
  </si>
  <si>
    <t>ROI Adjustment</t>
  </si>
  <si>
    <t>Utilities</t>
  </si>
  <si>
    <t>Financing Type</t>
  </si>
  <si>
    <t>Yes</t>
  </si>
  <si>
    <t>NA</t>
  </si>
  <si>
    <t>COE Date</t>
  </si>
  <si>
    <t xml:space="preserve">Opening Bid Amount </t>
  </si>
  <si>
    <t xml:space="preserve"> Tax Proration's (County &amp; Suptl)</t>
  </si>
  <si>
    <t>Per Diem Adjustment</t>
  </si>
  <si>
    <t>Estimated Repairs</t>
  </si>
  <si>
    <t>Rehab</t>
  </si>
  <si>
    <t>No</t>
  </si>
  <si>
    <t>Alex Soto</t>
  </si>
  <si>
    <t>EOM</t>
  </si>
  <si>
    <t>ROI Adjustment to Purchase Price</t>
  </si>
  <si>
    <t>Deposits in Escrow</t>
  </si>
  <si>
    <t>Payoff 1</t>
  </si>
  <si>
    <t>Acquisition Approved</t>
  </si>
  <si>
    <t>Preliminary Bid</t>
  </si>
  <si>
    <t>Change Order</t>
  </si>
  <si>
    <t>Hard Money - DP</t>
  </si>
  <si>
    <t>Pfaff</t>
  </si>
  <si>
    <t>Principle</t>
  </si>
  <si>
    <t xml:space="preserve">Final HUD -1 Purchase </t>
  </si>
  <si>
    <t>Per Bid</t>
  </si>
  <si>
    <t>HOA</t>
  </si>
  <si>
    <t xml:space="preserve">Hard Money </t>
  </si>
  <si>
    <t>Ron Gutierrez</t>
  </si>
  <si>
    <t>HomeStrong USA Fees</t>
  </si>
  <si>
    <t>Interest</t>
  </si>
  <si>
    <t>Escrow Refund</t>
  </si>
  <si>
    <t>Estimated HUD-1 Resale</t>
  </si>
  <si>
    <t>Final Repair Cost</t>
  </si>
  <si>
    <t>1st Loan Payments</t>
  </si>
  <si>
    <t>Donation</t>
  </si>
  <si>
    <t>Sanner</t>
  </si>
  <si>
    <t>Escrow and Title</t>
  </si>
  <si>
    <t>Include Fees in Escrow?</t>
  </si>
  <si>
    <t>Loan Fees 1st</t>
  </si>
  <si>
    <t>Total Deposits</t>
  </si>
  <si>
    <t>2nd Loan Payments</t>
  </si>
  <si>
    <t>Donation - Refi</t>
  </si>
  <si>
    <t>HD</t>
  </si>
  <si>
    <t>Prorated Property Tax</t>
  </si>
  <si>
    <t>Is the Property Occupied?</t>
  </si>
  <si>
    <t>Statement Fee</t>
  </si>
  <si>
    <t>Lender Fees</t>
  </si>
  <si>
    <t>Cash  Purchase</t>
  </si>
  <si>
    <t>HSUSA</t>
  </si>
  <si>
    <t>Total Purchase Costs</t>
  </si>
  <si>
    <t>Cash Required to Close:</t>
  </si>
  <si>
    <t>New Loans</t>
  </si>
  <si>
    <t>Reconveyance Fee</t>
  </si>
  <si>
    <t xml:space="preserve">Total Repairs </t>
  </si>
  <si>
    <t>Misc.</t>
  </si>
  <si>
    <t>LENDER COST</t>
  </si>
  <si>
    <t>Auction Fee</t>
  </si>
  <si>
    <t>New Loan to File 1st</t>
  </si>
  <si>
    <t>Demand Fee</t>
  </si>
  <si>
    <t>Cost Breakdown</t>
  </si>
  <si>
    <t>1st LOAN</t>
  </si>
  <si>
    <t>New Loan to File 2nd</t>
  </si>
  <si>
    <t>Payment to Lender</t>
  </si>
  <si>
    <t>Prepaid Interest 1st</t>
  </si>
  <si>
    <t>Interest Rate</t>
  </si>
  <si>
    <t>1st Loan Amount</t>
  </si>
  <si>
    <t>Override Loan Am.</t>
  </si>
  <si>
    <t>Due Diligence Fee</t>
  </si>
  <si>
    <t>Loan Origination Fees</t>
  </si>
  <si>
    <t>Unused Payment Credit</t>
  </si>
  <si>
    <t>Interest on New Loan 1st</t>
  </si>
  <si>
    <t>Days</t>
  </si>
  <si>
    <t>Loan Origination Fee 1st (Combo)</t>
  </si>
  <si>
    <t>Miscellaneous Loan Fees</t>
  </si>
  <si>
    <t>Loan Origination Fee 1st</t>
  </si>
  <si>
    <t>Points</t>
  </si>
  <si>
    <t>75% of ARV</t>
  </si>
  <si>
    <t>Certified Inspection Fee</t>
  </si>
  <si>
    <t>Loan Origination Fee 2nd</t>
  </si>
  <si>
    <t>Loan Draw Balance</t>
  </si>
  <si>
    <t xml:space="preserve">Loan Fees &amp; Appraisal Fee 1st </t>
  </si>
  <si>
    <t>Est. Loan Fees</t>
  </si>
  <si>
    <t>90% of Cost</t>
  </si>
  <si>
    <t>Appraisal Fee</t>
  </si>
  <si>
    <t>Loan Fees 1st (Combo)</t>
  </si>
  <si>
    <t>Payoff 2</t>
  </si>
  <si>
    <t>Additional 1st Payments Made</t>
  </si>
  <si>
    <t>Mo.Payment</t>
  </si>
  <si>
    <t>Permit Search Fee</t>
  </si>
  <si>
    <t>Processing Fee</t>
  </si>
  <si>
    <t>Unused 1st Payments Credit</t>
  </si>
  <si>
    <t>odd days</t>
  </si>
  <si>
    <t>Budget and SOW Fee</t>
  </si>
  <si>
    <t>Admin Fee</t>
  </si>
  <si>
    <t>Interest from1st Payoff</t>
  </si>
  <si>
    <t>Day in Mo</t>
  </si>
  <si>
    <t>Contingency</t>
  </si>
  <si>
    <t>Underwriting Fee</t>
  </si>
  <si>
    <t>Loan Fees 2nd</t>
  </si>
  <si>
    <t>ProRated Payment</t>
  </si>
  <si>
    <t>Loan Document Fee</t>
  </si>
  <si>
    <t>Other Fees</t>
  </si>
  <si>
    <t>Supplemental Tax Estimator</t>
  </si>
  <si>
    <t>2nd LOAN</t>
  </si>
  <si>
    <t>Prepaid Interest 2nd</t>
  </si>
  <si>
    <t>Loans</t>
  </si>
  <si>
    <t>Wire Fee</t>
  </si>
  <si>
    <t>Tax Factor</t>
  </si>
  <si>
    <t>Interest on New Loan 2nd</t>
  </si>
  <si>
    <t xml:space="preserve">2nd Loan Amount </t>
  </si>
  <si>
    <t>Final Sales Price</t>
  </si>
  <si>
    <t>Loan</t>
  </si>
  <si>
    <t>Tax Service</t>
  </si>
  <si>
    <t>Sales Commission</t>
  </si>
  <si>
    <t>June</t>
  </si>
  <si>
    <t>Flood Cert</t>
  </si>
  <si>
    <t>Buyers Agent Commissions</t>
  </si>
  <si>
    <t>July</t>
  </si>
  <si>
    <t>(which ever is less)</t>
  </si>
  <si>
    <t>Notary</t>
  </si>
  <si>
    <t>Listing  Agents Commissions</t>
  </si>
  <si>
    <t>August</t>
  </si>
  <si>
    <t>Additional 2nd Payments Made</t>
  </si>
  <si>
    <t>Tax Proration's</t>
  </si>
  <si>
    <t>September</t>
  </si>
  <si>
    <t>Unused 2nd Payments Credit</t>
  </si>
  <si>
    <t>Payment Reserves 1st</t>
  </si>
  <si>
    <t>Inspection Fee</t>
  </si>
  <si>
    <t>County Taxes</t>
  </si>
  <si>
    <t>October</t>
  </si>
  <si>
    <t>Interest from 2nd Payoff</t>
  </si>
  <si>
    <t>Payment Reserves 2nd</t>
  </si>
  <si>
    <t>1st Half Taxes</t>
  </si>
  <si>
    <t>November</t>
  </si>
  <si>
    <t>Total Lender Costs</t>
  </si>
  <si>
    <t>Estimated Construction Hold Back</t>
  </si>
  <si>
    <t>2nd Half Taxes</t>
  </si>
  <si>
    <t>December</t>
  </si>
  <si>
    <t>REHABILITATION COSTS</t>
  </si>
  <si>
    <t>Loan Amount</t>
  </si>
  <si>
    <t xml:space="preserve">Escrow Charges </t>
  </si>
  <si>
    <t>January</t>
  </si>
  <si>
    <t>Estimated 2nd Loan Amount</t>
  </si>
  <si>
    <t>Settlement or Closing Fee</t>
  </si>
  <si>
    <t>February</t>
  </si>
  <si>
    <t>Supplemental Taxes</t>
  </si>
  <si>
    <t>Payoff/Debt Processing</t>
  </si>
  <si>
    <t>March</t>
  </si>
  <si>
    <t>Total Rehab Costs</t>
  </si>
  <si>
    <t>April</t>
  </si>
  <si>
    <t>MISC COSTS</t>
  </si>
  <si>
    <t>Months Prepaid Interest</t>
  </si>
  <si>
    <t>Sub Escrow Fee</t>
  </si>
  <si>
    <t>May</t>
  </si>
  <si>
    <t>ROI Adjustments</t>
  </si>
  <si>
    <t>Tax Assessed Value</t>
  </si>
  <si>
    <t>Interest on New Loan</t>
  </si>
  <si>
    <t>Document Preparation</t>
  </si>
  <si>
    <t>Supplemental Tax Bill #1</t>
  </si>
  <si>
    <t>Miscellaneous Costs</t>
  </si>
  <si>
    <t>Increased Value</t>
  </si>
  <si>
    <t>Miscellaneous Escrow Fees</t>
  </si>
  <si>
    <t>Supplemental Tax Bill #2</t>
  </si>
  <si>
    <t>Interest Difference</t>
  </si>
  <si>
    <t>Total Capital Investment</t>
  </si>
  <si>
    <t>Title Charges</t>
  </si>
  <si>
    <t>Monthly HOA Fee</t>
  </si>
  <si>
    <t>Owners Coverage</t>
  </si>
  <si>
    <t>1st Loan Interest Calculator</t>
  </si>
  <si>
    <t>Construction Hold Back</t>
  </si>
  <si>
    <t>Recording Fees</t>
  </si>
  <si>
    <t>Amount of Loan</t>
  </si>
  <si>
    <t>Interest Per Day</t>
  </si>
  <si>
    <t>Days of Loan</t>
  </si>
  <si>
    <t>Interest Due</t>
  </si>
  <si>
    <t>Additional Interest Reserve 1st</t>
  </si>
  <si>
    <t>months</t>
  </si>
  <si>
    <t>2nd Loan or Rehab Float Amount</t>
  </si>
  <si>
    <t>County Transfer Tax</t>
  </si>
  <si>
    <t>Additional Interest Reserve 2nd</t>
  </si>
  <si>
    <t>Loan Fees &amp; Cost</t>
  </si>
  <si>
    <t>Escrow &amp; Title Fees</t>
  </si>
  <si>
    <t>Miscellaneous Title Fees</t>
  </si>
  <si>
    <t>Total Misc. Costs</t>
  </si>
  <si>
    <t>Prorated Closing Interest</t>
  </si>
  <si>
    <t>Escrow Fee</t>
  </si>
  <si>
    <t>Additional Settlement Fees</t>
  </si>
  <si>
    <t>GROSS PROFITS</t>
  </si>
  <si>
    <t>Construction Holdback</t>
  </si>
  <si>
    <t>Lender Endorsement</t>
  </si>
  <si>
    <t>Home Warranty</t>
  </si>
  <si>
    <t>Estimated Sales Price</t>
  </si>
  <si>
    <t xml:space="preserve">Payment Reserves   </t>
  </si>
  <si>
    <t>CLTA Interim Binder Form(Owners)</t>
  </si>
  <si>
    <t xml:space="preserve">Property Disclosure Report </t>
  </si>
  <si>
    <t>2nd Loan Interest Calculator</t>
  </si>
  <si>
    <t>Interest On 2nd/Rehab Float Int.</t>
  </si>
  <si>
    <t>ALTA Ext Loan Policy 1st</t>
  </si>
  <si>
    <t>HOA Fees</t>
  </si>
  <si>
    <t>Action Fee</t>
  </si>
  <si>
    <t>ALTA Ext Loan Policy 2nd</t>
  </si>
  <si>
    <t>Transfer Fee</t>
  </si>
  <si>
    <t>Concessions (Buyer's Help)</t>
  </si>
  <si>
    <t>Record 1st Trust Deed</t>
  </si>
  <si>
    <t>HOA Dues</t>
  </si>
  <si>
    <t>General Liability Insurance</t>
  </si>
  <si>
    <t>Record 2nd Trust Deed</t>
  </si>
  <si>
    <t>Seller Credits</t>
  </si>
  <si>
    <t>Escrow &amp; Title</t>
  </si>
  <si>
    <t>Record Deed Title</t>
  </si>
  <si>
    <t>Seller Credit to Buyer</t>
  </si>
  <si>
    <t>Loan Fees Calculator</t>
  </si>
  <si>
    <t>Funds To Close</t>
  </si>
  <si>
    <t>Natural Hazard Report</t>
  </si>
  <si>
    <t>Seller Credit Transfer Tax</t>
  </si>
  <si>
    <t>Asset Management Services</t>
  </si>
  <si>
    <t xml:space="preserve">Interest Reserve </t>
  </si>
  <si>
    <t>Seller Credit Owner's Policy</t>
  </si>
  <si>
    <t>Gross Profit to Seller</t>
  </si>
  <si>
    <t>Association Dues</t>
  </si>
  <si>
    <t>Seller Credit Title and Escrow Fees</t>
  </si>
  <si>
    <t>NET PROFITS</t>
  </si>
  <si>
    <t>Professional Community Mgmt.</t>
  </si>
  <si>
    <t xml:space="preserve">Pest Inspections and Repairs </t>
  </si>
  <si>
    <t>Total Acquisition Cost</t>
  </si>
  <si>
    <t>HomeStrong USA</t>
  </si>
  <si>
    <t>Post Closing Fee</t>
  </si>
  <si>
    <t xml:space="preserve">Repairs  Paid In Escrow </t>
  </si>
  <si>
    <t xml:space="preserve">Hard Money Costs </t>
  </si>
  <si>
    <t>Disbursements Paid</t>
  </si>
  <si>
    <t>Miscellaneous Fees</t>
  </si>
  <si>
    <t>Rehab Costs</t>
  </si>
  <si>
    <t>Misc.&amp; Pad</t>
  </si>
  <si>
    <t xml:space="preserve">Homeowners Insurance </t>
  </si>
  <si>
    <t>Miscellaneous Costs Less Interest</t>
  </si>
  <si>
    <t>Total Reserves</t>
  </si>
  <si>
    <t xml:space="preserve">Community Dev. Fee </t>
  </si>
  <si>
    <t>Total Development Cost</t>
  </si>
  <si>
    <t>Total Out of Pocket Cash</t>
  </si>
  <si>
    <r>
      <t>Cash (</t>
    </r>
    <r>
      <rPr>
        <b/>
        <sz val="10"/>
        <color indexed="10"/>
        <rFont val="Cambria"/>
        <family val="1"/>
      </rPr>
      <t xml:space="preserve">   </t>
    </r>
    <r>
      <rPr>
        <b/>
        <sz val="10"/>
        <rFont val="Cambria"/>
        <family val="1"/>
      </rPr>
      <t>From)(</t>
    </r>
    <r>
      <rPr>
        <b/>
        <sz val="10"/>
        <color indexed="10"/>
        <rFont val="Cambria"/>
        <family val="1"/>
      </rPr>
      <t>X</t>
    </r>
    <r>
      <rPr>
        <b/>
        <sz val="10"/>
        <rFont val="Cambria"/>
        <family val="1"/>
      </rPr>
      <t xml:space="preserve"> TO) Borrower</t>
    </r>
  </si>
  <si>
    <t xml:space="preserve">Payoffs </t>
  </si>
  <si>
    <t>Funds Held Until Close</t>
  </si>
  <si>
    <t>Adjustments</t>
  </si>
  <si>
    <t>Miscellaneous Pad</t>
  </si>
  <si>
    <t>NPO Management Fee</t>
  </si>
  <si>
    <t>Totals</t>
  </si>
  <si>
    <t>Developer Partner:</t>
  </si>
  <si>
    <t xml:space="preserve">Net Profit </t>
  </si>
  <si>
    <t>ShortFunds to Escrow</t>
  </si>
  <si>
    <t>Notes:</t>
  </si>
  <si>
    <t xml:space="preserve">Approved By: </t>
  </si>
  <si>
    <t>Date</t>
  </si>
  <si>
    <t>Due Diligence Cost</t>
  </si>
  <si>
    <t>Commission to Acqusition Fee</t>
  </si>
  <si>
    <t>Investment Analysis</t>
  </si>
  <si>
    <t xml:space="preserve">Development Partner </t>
  </si>
  <si>
    <t>ROI</t>
  </si>
  <si>
    <t xml:space="preserve">Estimated Yearly ROI </t>
  </si>
  <si>
    <t>Total Cash Investmetn Including Payments</t>
  </si>
  <si>
    <t>Estimated  Project  in Mos.</t>
  </si>
  <si>
    <t>Cash for Keys</t>
  </si>
  <si>
    <t>ARV</t>
  </si>
  <si>
    <t xml:space="preserve"> </t>
  </si>
  <si>
    <t>135 E 1st St,
San Dimas, CA 91773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</si>
</sst>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#,##0.00;\-#,##0.00"/>
    <numFmt numFmtId="167" formatCode="_(&quot;$&quot;* #,##0_);_(&quot;$&quot;* \(#,##0\);_(&quot;$&quot;* &quot;-&quot;??_);_(@_)"/>
    <numFmt numFmtId="168" formatCode="&quot;$&quot;#,##0"/>
    <numFmt numFmtId="169" formatCode="0.000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Cambria"/>
      <family val="1"/>
    </font>
    <font>
      <b/>
      <sz val="10"/>
      <name val="Cambria"/>
      <family val="1"/>
    </font>
    <font>
      <sz val="11"/>
      <color theme="1"/>
      <name val="Calibri"/>
      <family val="2"/>
      <scheme val="minor"/>
    </font>
    <font>
      <sz val="12"/>
      <color theme="0"/>
      <name val="Calibri Light"/>
      <family val="1"/>
      <scheme val="major"/>
    </font>
    <font>
      <sz val="10"/>
      <color theme="0"/>
      <name val="Calibri Light"/>
      <family val="1"/>
      <scheme val="major"/>
    </font>
    <font>
      <sz val="10"/>
      <name val="Calibri Light"/>
      <family val="1"/>
      <scheme val="major"/>
    </font>
    <font>
      <b/>
      <sz val="10"/>
      <name val="Calibri Light"/>
      <family val="1"/>
      <scheme val="maj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10"/>
      <name val="Calibri Light"/>
      <family val="1"/>
      <scheme val="major"/>
    </font>
    <font>
      <sz val="10"/>
      <color indexed="10"/>
      <name val="Calibri"/>
      <family val="2"/>
      <scheme val="minor"/>
    </font>
    <font>
      <i/>
      <sz val="10"/>
      <name val="Calibri Light"/>
      <family val="1"/>
      <scheme val="major"/>
    </font>
    <font>
      <sz val="8"/>
      <color indexed="8"/>
      <name val="Calibri"/>
      <family val="2"/>
      <scheme val="minor"/>
    </font>
    <font>
      <u/>
      <sz val="10"/>
      <name val="Calibri Light"/>
      <family val="1"/>
      <scheme val="major"/>
    </font>
    <font>
      <b/>
      <sz val="10"/>
      <color theme="0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u/>
      <sz val="10"/>
      <name val="Calibri Light"/>
      <family val="1"/>
      <scheme val="major"/>
    </font>
    <font>
      <b/>
      <sz val="10"/>
      <color indexed="1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0"/>
      <color theme="0"/>
      <name val="Calibri Light"/>
      <family val="1"/>
      <scheme val="major"/>
    </font>
    <font>
      <b/>
      <sz val="12"/>
      <color theme="0"/>
      <name val="Calibri Light"/>
      <family val="1"/>
      <scheme val="maj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 Light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54222235786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1">
    <xf numFmtId="0" fontId="0" fillId="0" borderId="0" xfId="0"/>
    <xf numFmtId="0" fontId="5" fillId="5" borderId="1" xfId="3" applyFont="1" applyFill="1" applyBorder="1" applyAlignment="1" applyProtection="1">
      <alignment horizontal="center" vertical="center"/>
      <protection locked="0"/>
    </xf>
    <xf numFmtId="0" fontId="6" fillId="5" borderId="2" xfId="3" applyFont="1" applyFill="1" applyBorder="1" applyAlignment="1">
      <alignment horizontal="left"/>
    </xf>
    <xf numFmtId="44" fontId="6" fillId="5" borderId="1" xfId="2" applyFont="1" applyFill="1" applyBorder="1" applyAlignment="1" applyProtection="1"/>
    <xf numFmtId="14" fontId="6" fillId="5" borderId="1" xfId="3" applyNumberFormat="1" applyFont="1" applyFill="1" applyBorder="1" applyAlignment="1" applyProtection="1">
      <alignment horizontal="center"/>
      <protection locked="0"/>
    </xf>
    <xf numFmtId="164" fontId="6" fillId="5" borderId="1" xfId="2" applyNumberFormat="1" applyFont="1" applyFill="1" applyBorder="1" applyAlignment="1" applyProtection="1"/>
    <xf numFmtId="14" fontId="6" fillId="5" borderId="3" xfId="3" applyNumberFormat="1" applyFont="1" applyFill="1" applyBorder="1" applyAlignment="1">
      <alignment horizontal="left"/>
    </xf>
    <xf numFmtId="0" fontId="7" fillId="0" borderId="0" xfId="3" applyFont="1"/>
    <xf numFmtId="0" fontId="6" fillId="5" borderId="0" xfId="3" applyFont="1" applyFill="1"/>
    <xf numFmtId="0" fontId="6" fillId="5" borderId="4" xfId="3" applyFont="1" applyFill="1" applyBorder="1" applyAlignment="1" applyProtection="1">
      <alignment horizontal="center" vertical="center"/>
      <protection locked="0"/>
    </xf>
    <xf numFmtId="0" fontId="7" fillId="0" borderId="5" xfId="3" applyFont="1" applyBorder="1"/>
    <xf numFmtId="44" fontId="7" fillId="0" borderId="0" xfId="2" applyFont="1" applyFill="1" applyBorder="1" applyProtection="1">
      <protection locked="0"/>
    </xf>
    <xf numFmtId="164" fontId="8" fillId="0" borderId="0" xfId="2" applyNumberFormat="1" applyFont="1" applyBorder="1" applyAlignment="1" applyProtection="1">
      <alignment horizontal="center"/>
    </xf>
    <xf numFmtId="4" fontId="8" fillId="0" borderId="0" xfId="3" applyNumberFormat="1" applyFont="1" applyAlignment="1">
      <alignment horizontal="center"/>
    </xf>
    <xf numFmtId="4" fontId="7" fillId="0" borderId="5" xfId="3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6" fontId="9" fillId="0" borderId="6" xfId="0" applyNumberFormat="1" applyFont="1" applyBorder="1" applyAlignment="1">
      <alignment horizontal="center"/>
    </xf>
    <xf numFmtId="0" fontId="7" fillId="0" borderId="1" xfId="3" applyFont="1" applyBorder="1"/>
    <xf numFmtId="0" fontId="7" fillId="0" borderId="3" xfId="3" applyFont="1" applyBorder="1"/>
    <xf numFmtId="0" fontId="6" fillId="5" borderId="5" xfId="3" applyFont="1" applyFill="1" applyBorder="1"/>
    <xf numFmtId="0" fontId="6" fillId="5" borderId="0" xfId="3" applyFont="1" applyFill="1" applyAlignment="1">
      <alignment horizontal="center"/>
    </xf>
    <xf numFmtId="44" fontId="7" fillId="0" borderId="0" xfId="2" applyFont="1" applyBorder="1" applyProtection="1">
      <protection locked="0"/>
    </xf>
    <xf numFmtId="4" fontId="8" fillId="0" borderId="5" xfId="3" applyNumberFormat="1" applyFont="1" applyBorder="1" applyAlignment="1">
      <alignment horizontal="right"/>
    </xf>
    <xf numFmtId="44" fontId="10" fillId="0" borderId="0" xfId="2" applyFont="1" applyBorder="1" applyProtection="1"/>
    <xf numFmtId="44" fontId="11" fillId="0" borderId="0" xfId="2" applyFont="1" applyBorder="1" applyAlignment="1" applyProtection="1">
      <alignment horizontal="center"/>
      <protection locked="0"/>
    </xf>
    <xf numFmtId="44" fontId="11" fillId="0" borderId="6" xfId="2" applyFont="1" applyBorder="1" applyAlignment="1" applyProtection="1">
      <alignment horizontal="center"/>
    </xf>
    <xf numFmtId="0" fontId="7" fillId="0" borderId="0" xfId="3" applyFont="1" applyAlignment="1">
      <alignment horizontal="center"/>
    </xf>
    <xf numFmtId="0" fontId="7" fillId="0" borderId="6" xfId="3" applyFont="1" applyBorder="1"/>
    <xf numFmtId="10" fontId="7" fillId="2" borderId="5" xfId="5" applyNumberFormat="1" applyFont="1" applyFill="1" applyBorder="1" applyAlignment="1" applyProtection="1">
      <alignment horizontal="right"/>
    </xf>
    <xf numFmtId="0" fontId="8" fillId="2" borderId="0" xfId="3" applyFont="1" applyFill="1"/>
    <xf numFmtId="0" fontId="8" fillId="2" borderId="7" xfId="3" applyFont="1" applyFill="1" applyBorder="1" applyAlignment="1">
      <alignment horizontal="right"/>
    </xf>
    <xf numFmtId="167" fontId="7" fillId="6" borderId="7" xfId="2" applyNumberFormat="1" applyFont="1" applyFill="1" applyBorder="1" applyAlignment="1" applyProtection="1">
      <protection locked="0"/>
    </xf>
    <xf numFmtId="4" fontId="12" fillId="0" borderId="5" xfId="3" applyNumberFormat="1" applyFont="1" applyBorder="1" applyAlignment="1" applyProtection="1">
      <alignment horizontal="right"/>
      <protection locked="0"/>
    </xf>
    <xf numFmtId="44" fontId="13" fillId="0" borderId="0" xfId="2" applyFont="1" applyBorder="1" applyProtection="1">
      <protection locked="0"/>
    </xf>
    <xf numFmtId="44" fontId="12" fillId="0" borderId="0" xfId="2" applyFont="1" applyBorder="1" applyProtection="1">
      <protection locked="0"/>
    </xf>
    <xf numFmtId="0" fontId="12" fillId="0" borderId="0" xfId="3" applyFont="1" applyProtection="1">
      <protection locked="0"/>
    </xf>
    <xf numFmtId="0" fontId="12" fillId="0" borderId="6" xfId="3" applyFont="1" applyBorder="1" applyProtection="1">
      <protection locked="0"/>
    </xf>
    <xf numFmtId="0" fontId="7" fillId="2" borderId="0" xfId="3" applyFont="1" applyFill="1"/>
    <xf numFmtId="10" fontId="7" fillId="2" borderId="0" xfId="3" applyNumberFormat="1" applyFont="1" applyFill="1" applyAlignment="1">
      <alignment horizontal="left"/>
    </xf>
    <xf numFmtId="10" fontId="7" fillId="2" borderId="0" xfId="3" applyNumberFormat="1" applyFont="1" applyFill="1" applyAlignment="1">
      <alignment horizontal="right"/>
    </xf>
    <xf numFmtId="167" fontId="7" fillId="6" borderId="4" xfId="2" applyNumberFormat="1" applyFont="1" applyFill="1" applyBorder="1" applyAlignment="1" applyProtection="1">
      <protection locked="0"/>
    </xf>
    <xf numFmtId="0" fontId="6" fillId="3" borderId="5" xfId="3" applyFont="1" applyFill="1" applyBorder="1"/>
    <xf numFmtId="44" fontId="7" fillId="3" borderId="0" xfId="2" applyFont="1" applyFill="1" applyBorder="1" applyProtection="1"/>
    <xf numFmtId="44" fontId="6" fillId="5" borderId="0" xfId="2" applyFont="1" applyFill="1" applyBorder="1" applyProtection="1"/>
    <xf numFmtId="44" fontId="7" fillId="2" borderId="0" xfId="2" applyFont="1" applyFill="1" applyBorder="1" applyAlignment="1" applyProtection="1">
      <alignment horizontal="right"/>
    </xf>
    <xf numFmtId="9" fontId="8" fillId="0" borderId="8" xfId="5" applyFont="1" applyFill="1" applyBorder="1" applyAlignment="1" applyProtection="1">
      <alignment horizontal="center"/>
    </xf>
    <xf numFmtId="167" fontId="8" fillId="2" borderId="8" xfId="2" applyNumberFormat="1" applyFont="1" applyFill="1" applyBorder="1" applyAlignment="1" applyProtection="1"/>
    <xf numFmtId="0" fontId="7" fillId="0" borderId="5" xfId="3" applyFont="1" applyBorder="1" applyProtection="1">
      <protection locked="0"/>
    </xf>
    <xf numFmtId="0" fontId="7" fillId="0" borderId="0" xfId="3" applyFont="1" applyProtection="1">
      <protection locked="0"/>
    </xf>
    <xf numFmtId="0" fontId="7" fillId="0" borderId="6" xfId="3" applyFont="1" applyBorder="1" applyProtection="1">
      <protection locked="0"/>
    </xf>
    <xf numFmtId="0" fontId="14" fillId="2" borderId="6" xfId="3" applyFont="1" applyFill="1" applyBorder="1"/>
    <xf numFmtId="0" fontId="6" fillId="5" borderId="9" xfId="3" applyFont="1" applyFill="1" applyBorder="1"/>
    <xf numFmtId="0" fontId="6" fillId="5" borderId="10" xfId="3" applyFont="1" applyFill="1" applyBorder="1" applyAlignment="1">
      <alignment horizontal="center"/>
    </xf>
    <xf numFmtId="0" fontId="12" fillId="0" borderId="5" xfId="3" applyFont="1" applyBorder="1" applyAlignment="1">
      <alignment horizontal="right"/>
    </xf>
    <xf numFmtId="44" fontId="12" fillId="0" borderId="0" xfId="2" applyFont="1" applyBorder="1" applyProtection="1"/>
    <xf numFmtId="0" fontId="7" fillId="2" borderId="6" xfId="3" applyFont="1" applyFill="1" applyBorder="1"/>
    <xf numFmtId="0" fontId="7" fillId="2" borderId="3" xfId="3" applyFont="1" applyFill="1" applyBorder="1" applyAlignment="1">
      <alignment horizontal="center"/>
    </xf>
    <xf numFmtId="0" fontId="6" fillId="7" borderId="5" xfId="3" applyFont="1" applyFill="1" applyBorder="1"/>
    <xf numFmtId="44" fontId="6" fillId="7" borderId="0" xfId="2" applyFont="1" applyFill="1" applyBorder="1" applyProtection="1"/>
    <xf numFmtId="44" fontId="6" fillId="3" borderId="0" xfId="2" applyFont="1" applyFill="1" applyBorder="1" applyProtection="1"/>
    <xf numFmtId="44" fontId="6" fillId="3" borderId="0" xfId="3" applyNumberFormat="1" applyFont="1" applyFill="1"/>
    <xf numFmtId="44" fontId="6" fillId="3" borderId="6" xfId="3" applyNumberFormat="1" applyFont="1" applyFill="1" applyBorder="1"/>
    <xf numFmtId="14" fontId="7" fillId="0" borderId="0" xfId="3" applyNumberFormat="1" applyFont="1" applyAlignment="1">
      <alignment horizontal="center"/>
    </xf>
    <xf numFmtId="167" fontId="8" fillId="2" borderId="0" xfId="2" applyNumberFormat="1" applyFont="1" applyFill="1" applyBorder="1" applyAlignment="1" applyProtection="1">
      <alignment horizontal="center"/>
    </xf>
    <xf numFmtId="44" fontId="7" fillId="0" borderId="6" xfId="2" applyFont="1" applyFill="1" applyBorder="1" applyAlignment="1" applyProtection="1">
      <alignment horizontal="right"/>
      <protection locked="0"/>
    </xf>
    <xf numFmtId="44" fontId="7" fillId="0" borderId="0" xfId="2" applyFont="1" applyBorder="1" applyProtection="1"/>
    <xf numFmtId="168" fontId="7" fillId="0" borderId="0" xfId="3" applyNumberFormat="1" applyFont="1" applyAlignment="1">
      <alignment horizontal="right"/>
    </xf>
    <xf numFmtId="10" fontId="8" fillId="2" borderId="5" xfId="3" applyNumberFormat="1" applyFont="1" applyFill="1" applyBorder="1"/>
    <xf numFmtId="44" fontId="8" fillId="2" borderId="0" xfId="2" applyFont="1" applyFill="1" applyBorder="1" applyProtection="1"/>
    <xf numFmtId="0" fontId="8" fillId="2" borderId="0" xfId="3" applyFont="1" applyFill="1" applyAlignment="1">
      <alignment horizontal="right"/>
    </xf>
    <xf numFmtId="0" fontId="8" fillId="2" borderId="6" xfId="3" applyFont="1" applyFill="1" applyBorder="1"/>
    <xf numFmtId="167" fontId="7" fillId="0" borderId="0" xfId="2" applyNumberFormat="1" applyFont="1" applyFill="1" applyBorder="1" applyProtection="1"/>
    <xf numFmtId="44" fontId="7" fillId="2" borderId="6" xfId="2" applyFont="1" applyFill="1" applyBorder="1" applyAlignment="1" applyProtection="1">
      <alignment horizontal="right"/>
    </xf>
    <xf numFmtId="0" fontId="6" fillId="5" borderId="1" xfId="3" applyFont="1" applyFill="1" applyBorder="1"/>
    <xf numFmtId="0" fontId="7" fillId="5" borderId="1" xfId="3" applyFont="1" applyFill="1" applyBorder="1"/>
    <xf numFmtId="44" fontId="7" fillId="5" borderId="1" xfId="2" applyFont="1" applyFill="1" applyBorder="1" applyProtection="1"/>
    <xf numFmtId="164" fontId="7" fillId="3" borderId="0" xfId="3" applyNumberFormat="1" applyFont="1" applyFill="1"/>
    <xf numFmtId="164" fontId="7" fillId="3" borderId="6" xfId="3" applyNumberFormat="1" applyFont="1" applyFill="1" applyBorder="1"/>
    <xf numFmtId="0" fontId="7" fillId="0" borderId="8" xfId="3" applyFont="1" applyBorder="1"/>
    <xf numFmtId="0" fontId="7" fillId="0" borderId="8" xfId="3" applyFont="1" applyBorder="1" applyAlignment="1">
      <alignment horizontal="center"/>
    </xf>
    <xf numFmtId="0" fontId="7" fillId="0" borderId="11" xfId="3" applyFont="1" applyBorder="1"/>
    <xf numFmtId="9" fontId="7" fillId="2" borderId="0" xfId="1" applyFont="1" applyFill="1" applyBorder="1" applyAlignment="1" applyProtection="1">
      <alignment horizontal="center"/>
      <protection locked="0"/>
    </xf>
    <xf numFmtId="0" fontId="7" fillId="0" borderId="7" xfId="3" applyFont="1" applyBorder="1"/>
    <xf numFmtId="44" fontId="7" fillId="0" borderId="7" xfId="2" applyFont="1" applyBorder="1" applyProtection="1">
      <protection locked="0"/>
    </xf>
    <xf numFmtId="44" fontId="7" fillId="0" borderId="7" xfId="2" applyFont="1" applyFill="1" applyBorder="1" applyProtection="1">
      <protection locked="0"/>
    </xf>
    <xf numFmtId="49" fontId="15" fillId="0" borderId="5" xfId="0" applyNumberFormat="1" applyFont="1" applyBorder="1" applyProtection="1">
      <protection locked="0"/>
    </xf>
    <xf numFmtId="44" fontId="10" fillId="0" borderId="0" xfId="2" applyFont="1" applyBorder="1" applyProtection="1">
      <protection locked="0"/>
    </xf>
    <xf numFmtId="164" fontId="10" fillId="0" borderId="0" xfId="0" applyNumberFormat="1" applyFont="1" applyProtection="1">
      <protection locked="0"/>
    </xf>
    <xf numFmtId="164" fontId="10" fillId="0" borderId="6" xfId="0" applyNumberFormat="1" applyFont="1" applyBorder="1" applyProtection="1">
      <protection locked="0"/>
    </xf>
    <xf numFmtId="0" fontId="7" fillId="2" borderId="8" xfId="3" applyFont="1" applyFill="1" applyBorder="1" applyAlignment="1">
      <alignment horizontal="center"/>
    </xf>
    <xf numFmtId="9" fontId="7" fillId="2" borderId="8" xfId="1" applyFont="1" applyFill="1" applyBorder="1" applyProtection="1"/>
    <xf numFmtId="44" fontId="7" fillId="2" borderId="11" xfId="2" applyFont="1" applyFill="1" applyBorder="1" applyAlignment="1" applyProtection="1">
      <alignment horizontal="right"/>
      <protection locked="0"/>
    </xf>
    <xf numFmtId="44" fontId="7" fillId="0" borderId="3" xfId="2" applyFont="1" applyBorder="1" applyProtection="1"/>
    <xf numFmtId="10" fontId="7" fillId="6" borderId="0" xfId="3" applyNumberFormat="1" applyFont="1" applyFill="1" applyAlignment="1" applyProtection="1">
      <alignment horizontal="center"/>
      <protection locked="0"/>
    </xf>
    <xf numFmtId="168" fontId="8" fillId="2" borderId="12" xfId="3" applyNumberFormat="1" applyFont="1" applyFill="1" applyBorder="1" applyAlignment="1">
      <alignment horizontal="left"/>
    </xf>
    <xf numFmtId="0" fontId="16" fillId="2" borderId="6" xfId="3" applyFont="1" applyFill="1" applyBorder="1"/>
    <xf numFmtId="0" fontId="6" fillId="5" borderId="3" xfId="3" applyFont="1" applyFill="1" applyBorder="1" applyAlignment="1">
      <alignment horizontal="center"/>
    </xf>
    <xf numFmtId="0" fontId="6" fillId="3" borderId="0" xfId="3" applyFont="1" applyFill="1"/>
    <xf numFmtId="44" fontId="6" fillId="3" borderId="0" xfId="2" applyFont="1" applyFill="1" applyBorder="1" applyAlignment="1" applyProtection="1"/>
    <xf numFmtId="44" fontId="7" fillId="0" borderId="6" xfId="2" applyFont="1" applyBorder="1" applyProtection="1"/>
    <xf numFmtId="44" fontId="7" fillId="2" borderId="0" xfId="2" applyFont="1" applyFill="1" applyBorder="1" applyProtection="1"/>
    <xf numFmtId="0" fontId="7" fillId="2" borderId="0" xfId="3" applyFont="1" applyFill="1" applyAlignment="1" applyProtection="1">
      <alignment horizontal="center" vertical="center"/>
      <protection locked="0"/>
    </xf>
    <xf numFmtId="0" fontId="7" fillId="2" borderId="0" xfId="2" applyNumberFormat="1" applyFont="1" applyFill="1" applyBorder="1" applyAlignment="1" applyProtection="1"/>
    <xf numFmtId="14" fontId="7" fillId="2" borderId="6" xfId="3" applyNumberFormat="1" applyFont="1" applyFill="1" applyBorder="1" applyAlignment="1">
      <alignment horizontal="left"/>
    </xf>
    <xf numFmtId="0" fontId="7" fillId="2" borderId="6" xfId="3" applyFont="1" applyFill="1" applyBorder="1" applyAlignment="1">
      <alignment horizontal="center"/>
    </xf>
    <xf numFmtId="0" fontId="7" fillId="2" borderId="0" xfId="3" applyFont="1" applyFill="1" applyAlignment="1">
      <alignment horizontal="left"/>
    </xf>
    <xf numFmtId="44" fontId="7" fillId="6" borderId="6" xfId="2" applyFont="1" applyFill="1" applyBorder="1" applyAlignment="1" applyProtection="1">
      <alignment horizontal="right"/>
      <protection locked="0"/>
    </xf>
    <xf numFmtId="164" fontId="7" fillId="2" borderId="0" xfId="2" applyNumberFormat="1" applyFont="1" applyFill="1" applyBorder="1" applyAlignment="1" applyProtection="1"/>
    <xf numFmtId="164" fontId="7" fillId="6" borderId="0" xfId="3" applyNumberFormat="1" applyFont="1" applyFill="1" applyAlignment="1" applyProtection="1">
      <alignment horizontal="center"/>
      <protection locked="0"/>
    </xf>
    <xf numFmtId="167" fontId="7" fillId="2" borderId="0" xfId="2" applyNumberFormat="1" applyFont="1" applyFill="1" applyBorder="1" applyAlignment="1" applyProtection="1">
      <alignment horizontal="left"/>
    </xf>
    <xf numFmtId="7" fontId="6" fillId="5" borderId="5" xfId="2" applyNumberFormat="1" applyFont="1" applyFill="1" applyBorder="1" applyProtection="1"/>
    <xf numFmtId="44" fontId="7" fillId="2" borderId="0" xfId="2" applyFont="1" applyFill="1" applyBorder="1" applyAlignment="1" applyProtection="1"/>
    <xf numFmtId="7" fontId="7" fillId="0" borderId="0" xfId="2" applyNumberFormat="1" applyFont="1" applyBorder="1" applyProtection="1"/>
    <xf numFmtId="14" fontId="7" fillId="0" borderId="0" xfId="3" applyNumberFormat="1" applyFont="1"/>
    <xf numFmtId="164" fontId="7" fillId="2" borderId="0" xfId="3" applyNumberFormat="1" applyFont="1" applyFill="1" applyAlignment="1">
      <alignment horizontal="center"/>
    </xf>
    <xf numFmtId="44" fontId="7" fillId="0" borderId="11" xfId="2" applyFont="1" applyBorder="1" applyProtection="1"/>
    <xf numFmtId="10" fontId="7" fillId="2" borderId="0" xfId="5" applyNumberFormat="1" applyFont="1" applyFill="1" applyBorder="1" applyAlignment="1" applyProtection="1">
      <alignment horizontal="right"/>
    </xf>
    <xf numFmtId="44" fontId="7" fillId="0" borderId="8" xfId="2" applyFont="1" applyBorder="1" applyProtection="1"/>
    <xf numFmtId="167" fontId="8" fillId="2" borderId="8" xfId="2" applyNumberFormat="1" applyFont="1" applyFill="1" applyBorder="1" applyAlignment="1" applyProtection="1">
      <alignment horizontal="left"/>
    </xf>
    <xf numFmtId="44" fontId="8" fillId="0" borderId="11" xfId="2" applyFont="1" applyFill="1" applyBorder="1" applyAlignment="1" applyProtection="1">
      <alignment horizontal="right"/>
    </xf>
    <xf numFmtId="0" fontId="17" fillId="0" borderId="0" xfId="3" applyFont="1"/>
    <xf numFmtId="167" fontId="8" fillId="2" borderId="0" xfId="2" applyNumberFormat="1" applyFont="1" applyFill="1" applyBorder="1" applyAlignment="1" applyProtection="1">
      <alignment horizontal="left"/>
    </xf>
    <xf numFmtId="44" fontId="8" fillId="0" borderId="0" xfId="2" applyFont="1" applyFill="1" applyBorder="1" applyAlignment="1" applyProtection="1">
      <alignment horizontal="right"/>
    </xf>
    <xf numFmtId="0" fontId="17" fillId="7" borderId="8" xfId="3" applyFont="1" applyFill="1" applyBorder="1" applyAlignment="1">
      <alignment horizontal="center"/>
    </xf>
    <xf numFmtId="0" fontId="17" fillId="7" borderId="10" xfId="3" applyFont="1" applyFill="1" applyBorder="1" applyAlignment="1">
      <alignment horizontal="center"/>
    </xf>
    <xf numFmtId="0" fontId="0" fillId="2" borderId="0" xfId="0" applyFill="1"/>
    <xf numFmtId="0" fontId="6" fillId="5" borderId="1" xfId="3" applyFont="1" applyFill="1" applyBorder="1" applyAlignment="1">
      <alignment horizontal="center"/>
    </xf>
    <xf numFmtId="0" fontId="6" fillId="7" borderId="9" xfId="3" applyFont="1" applyFill="1" applyBorder="1" applyAlignment="1">
      <alignment horizontal="right"/>
    </xf>
    <xf numFmtId="0" fontId="6" fillId="0" borderId="0" xfId="3" applyFont="1"/>
    <xf numFmtId="168" fontId="7" fillId="2" borderId="0" xfId="3" applyNumberFormat="1" applyFont="1" applyFill="1" applyAlignment="1">
      <alignment horizontal="left"/>
    </xf>
    <xf numFmtId="0" fontId="18" fillId="0" borderId="1" xfId="0" applyFont="1" applyBorder="1" applyAlignment="1">
      <alignment horizontal="center"/>
    </xf>
    <xf numFmtId="0" fontId="7" fillId="2" borderId="1" xfId="3" applyFont="1" applyFill="1" applyBorder="1" applyAlignment="1">
      <alignment horizontal="right"/>
    </xf>
    <xf numFmtId="1" fontId="10" fillId="0" borderId="0" xfId="0" applyNumberFormat="1" applyFont="1" applyAlignment="1">
      <alignment horizontal="center"/>
    </xf>
    <xf numFmtId="0" fontId="7" fillId="0" borderId="6" xfId="3" applyFont="1" applyBorder="1" applyAlignment="1">
      <alignment horizontal="center"/>
    </xf>
    <xf numFmtId="9" fontId="7" fillId="2" borderId="0" xfId="1" applyFont="1" applyFill="1" applyBorder="1" applyAlignment="1" applyProtection="1"/>
    <xf numFmtId="168" fontId="7" fillId="2" borderId="0" xfId="3" applyNumberFormat="1" applyFont="1" applyFill="1"/>
    <xf numFmtId="0" fontId="16" fillId="2" borderId="0" xfId="3" applyFont="1" applyFill="1"/>
    <xf numFmtId="0" fontId="18" fillId="2" borderId="0" xfId="0" applyFont="1" applyFill="1" applyAlignment="1">
      <alignment horizontal="center"/>
    </xf>
    <xf numFmtId="0" fontId="7" fillId="0" borderId="0" xfId="3" applyFont="1" applyAlignment="1">
      <alignment horizontal="right"/>
    </xf>
    <xf numFmtId="0" fontId="7" fillId="2" borderId="5" xfId="3" applyFont="1" applyFill="1" applyBorder="1"/>
    <xf numFmtId="1" fontId="7" fillId="2" borderId="0" xfId="3" applyNumberFormat="1" applyFont="1" applyFill="1"/>
    <xf numFmtId="169" fontId="7" fillId="0" borderId="0" xfId="3" applyNumberFormat="1" applyFont="1" applyAlignment="1">
      <alignment horizontal="center"/>
    </xf>
    <xf numFmtId="10" fontId="8" fillId="2" borderId="5" xfId="5" applyNumberFormat="1" applyFont="1" applyFill="1" applyBorder="1" applyAlignment="1" applyProtection="1">
      <alignment horizontal="right"/>
    </xf>
    <xf numFmtId="44" fontId="8" fillId="2" borderId="0" xfId="2" applyFont="1" applyFill="1" applyBorder="1" applyAlignment="1" applyProtection="1"/>
    <xf numFmtId="7" fontId="8" fillId="2" borderId="0" xfId="3" applyNumberFormat="1" applyFont="1" applyFill="1" applyAlignment="1">
      <alignment horizontal="left" vertical="center"/>
    </xf>
    <xf numFmtId="10" fontId="8" fillId="2" borderId="6" xfId="5" applyNumberFormat="1" applyFont="1" applyFill="1" applyBorder="1" applyAlignment="1" applyProtection="1">
      <alignment horizontal="left" vertical="center"/>
    </xf>
    <xf numFmtId="44" fontId="7" fillId="6" borderId="0" xfId="2" applyFont="1" applyFill="1" applyBorder="1" applyProtection="1">
      <protection locked="0"/>
    </xf>
    <xf numFmtId="7" fontId="7" fillId="0" borderId="5" xfId="2" applyNumberFormat="1" applyFont="1" applyBorder="1" applyProtection="1"/>
    <xf numFmtId="168" fontId="19" fillId="2" borderId="0" xfId="0" applyNumberFormat="1" applyFont="1" applyFill="1" applyAlignment="1">
      <alignment horizontal="left"/>
    </xf>
    <xf numFmtId="44" fontId="8" fillId="0" borderId="0" xfId="2" applyFont="1" applyFill="1" applyBorder="1" applyProtection="1"/>
    <xf numFmtId="169" fontId="7" fillId="0" borderId="6" xfId="3" applyNumberFormat="1" applyFont="1" applyBorder="1" applyAlignment="1">
      <alignment horizontal="center"/>
    </xf>
    <xf numFmtId="0" fontId="7" fillId="2" borderId="8" xfId="3" applyFont="1" applyFill="1" applyBorder="1"/>
    <xf numFmtId="44" fontId="7" fillId="2" borderId="8" xfId="2" applyFont="1" applyFill="1" applyBorder="1" applyAlignment="1" applyProtection="1"/>
    <xf numFmtId="164" fontId="7" fillId="0" borderId="4" xfId="2" applyNumberFormat="1" applyFont="1" applyFill="1" applyBorder="1" applyAlignment="1" applyProtection="1">
      <alignment horizontal="right"/>
    </xf>
    <xf numFmtId="10" fontId="8" fillId="2" borderId="0" xfId="3" applyNumberFormat="1" applyFont="1" applyFill="1" applyAlignment="1">
      <alignment horizontal="left"/>
    </xf>
    <xf numFmtId="0" fontId="20" fillId="2" borderId="0" xfId="3" applyFont="1" applyFill="1"/>
    <xf numFmtId="0" fontId="20" fillId="2" borderId="6" xfId="3" applyFont="1" applyFill="1" applyBorder="1"/>
    <xf numFmtId="167" fontId="7" fillId="2" borderId="1" xfId="2" applyNumberFormat="1" applyFont="1" applyFill="1" applyBorder="1" applyProtection="1"/>
    <xf numFmtId="44" fontId="7" fillId="0" borderId="1" xfId="2" applyFont="1" applyFill="1" applyBorder="1" applyAlignment="1" applyProtection="1">
      <alignment horizontal="right"/>
    </xf>
    <xf numFmtId="167" fontId="7" fillId="2" borderId="0" xfId="2" applyNumberFormat="1" applyFont="1" applyFill="1" applyBorder="1" applyProtection="1"/>
    <xf numFmtId="44" fontId="18" fillId="0" borderId="0" xfId="2" applyFont="1" applyFill="1" applyBorder="1" applyProtection="1">
      <protection locked="0"/>
    </xf>
    <xf numFmtId="1" fontId="10" fillId="0" borderId="8" xfId="0" applyNumberFormat="1" applyFont="1" applyBorder="1" applyAlignment="1">
      <alignment horizontal="center"/>
    </xf>
    <xf numFmtId="169" fontId="7" fillId="0" borderId="11" xfId="3" applyNumberFormat="1" applyFont="1" applyBorder="1" applyAlignment="1">
      <alignment horizontal="center"/>
    </xf>
    <xf numFmtId="44" fontId="7" fillId="6" borderId="0" xfId="2" applyFont="1" applyFill="1" applyBorder="1" applyProtection="1"/>
    <xf numFmtId="10" fontId="14" fillId="2" borderId="0" xfId="3" applyNumberFormat="1" applyFont="1" applyFill="1"/>
    <xf numFmtId="44" fontId="7" fillId="6" borderId="0" xfId="2" applyFont="1" applyFill="1" applyBorder="1" applyAlignment="1" applyProtection="1">
      <alignment horizontal="right"/>
      <protection locked="0"/>
    </xf>
    <xf numFmtId="44" fontId="7" fillId="0" borderId="0" xfId="3" applyNumberFormat="1" applyFont="1"/>
    <xf numFmtId="0" fontId="17" fillId="7" borderId="13" xfId="3" applyFont="1" applyFill="1" applyBorder="1" applyAlignment="1">
      <alignment horizontal="center"/>
    </xf>
    <xf numFmtId="44" fontId="7" fillId="0" borderId="13" xfId="3" applyNumberFormat="1" applyFont="1" applyBorder="1"/>
    <xf numFmtId="44" fontId="7" fillId="6" borderId="0" xfId="2" applyFont="1" applyFill="1" applyBorder="1" applyAlignment="1" applyProtection="1">
      <alignment horizontal="right"/>
    </xf>
    <xf numFmtId="10" fontId="14" fillId="2" borderId="0" xfId="3" applyNumberFormat="1" applyFont="1" applyFill="1" applyAlignment="1">
      <alignment horizontal="left"/>
    </xf>
    <xf numFmtId="10" fontId="14" fillId="2" borderId="0" xfId="3" applyNumberFormat="1" applyFont="1" applyFill="1" applyAlignment="1">
      <alignment horizontal="center"/>
    </xf>
    <xf numFmtId="167" fontId="7" fillId="2" borderId="1" xfId="2" applyNumberFormat="1" applyFont="1" applyFill="1" applyBorder="1" applyAlignment="1" applyProtection="1">
      <alignment horizontal="left"/>
    </xf>
    <xf numFmtId="44" fontId="7" fillId="2" borderId="3" xfId="2" applyFont="1" applyFill="1" applyBorder="1" applyAlignment="1" applyProtection="1">
      <alignment horizontal="right"/>
    </xf>
    <xf numFmtId="44" fontId="7" fillId="6" borderId="0" xfId="2" applyFont="1" applyFill="1" applyBorder="1" applyAlignment="1" applyProtection="1">
      <alignment horizontal="center" vertical="center"/>
    </xf>
    <xf numFmtId="0" fontId="18" fillId="0" borderId="5" xfId="3" applyFont="1" applyBorder="1"/>
    <xf numFmtId="0" fontId="8" fillId="0" borderId="0" xfId="3" applyFont="1" applyAlignment="1">
      <alignment horizontal="center"/>
    </xf>
    <xf numFmtId="0" fontId="8" fillId="0" borderId="6" xfId="3" applyFont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14" fillId="2" borderId="0" xfId="3" applyFont="1" applyFill="1"/>
    <xf numFmtId="44" fontId="7" fillId="0" borderId="8" xfId="3" applyNumberFormat="1" applyFont="1" applyBorder="1" applyAlignment="1">
      <alignment horizontal="center"/>
    </xf>
    <xf numFmtId="44" fontId="7" fillId="0" borderId="11" xfId="3" applyNumberFormat="1" applyFont="1" applyBorder="1" applyAlignment="1">
      <alignment horizontal="center"/>
    </xf>
    <xf numFmtId="44" fontId="7" fillId="2" borderId="4" xfId="2" applyFont="1" applyFill="1" applyBorder="1" applyAlignment="1" applyProtection="1">
      <alignment horizontal="right"/>
    </xf>
    <xf numFmtId="44" fontId="7" fillId="0" borderId="0" xfId="3" applyNumberFormat="1" applyFont="1" applyAlignment="1">
      <alignment horizontal="center"/>
    </xf>
    <xf numFmtId="44" fontId="8" fillId="2" borderId="0" xfId="2" applyFont="1" applyFill="1" applyBorder="1" applyAlignment="1" applyProtection="1">
      <alignment horizontal="right"/>
    </xf>
    <xf numFmtId="10" fontId="8" fillId="0" borderId="0" xfId="3" applyNumberFormat="1" applyFont="1" applyAlignment="1">
      <alignment horizontal="left"/>
    </xf>
    <xf numFmtId="0" fontId="6" fillId="5" borderId="5" xfId="0" applyFont="1" applyFill="1" applyBorder="1"/>
    <xf numFmtId="9" fontId="8" fillId="0" borderId="0" xfId="5" applyFont="1" applyFill="1" applyBorder="1" applyAlignment="1" applyProtection="1">
      <alignment horizontal="left" vertical="center"/>
    </xf>
    <xf numFmtId="9" fontId="8" fillId="2" borderId="6" xfId="5" applyFont="1" applyFill="1" applyBorder="1" applyAlignment="1" applyProtection="1">
      <alignment horizontal="center" vertical="center"/>
    </xf>
    <xf numFmtId="164" fontId="10" fillId="0" borderId="0" xfId="0" applyNumberFormat="1" applyFont="1" applyAlignment="1" applyProtection="1">
      <alignment horizontal="right"/>
      <protection locked="0"/>
    </xf>
    <xf numFmtId="10" fontId="7" fillId="2" borderId="5" xfId="5" applyNumberFormat="1" applyFont="1" applyFill="1" applyBorder="1" applyAlignment="1" applyProtection="1">
      <alignment horizontal="right"/>
      <protection locked="0"/>
    </xf>
    <xf numFmtId="44" fontId="7" fillId="2" borderId="6" xfId="2" applyFont="1" applyFill="1" applyBorder="1" applyProtection="1"/>
    <xf numFmtId="44" fontId="7" fillId="2" borderId="6" xfId="2" applyFont="1" applyFill="1" applyBorder="1" applyAlignment="1" applyProtection="1"/>
    <xf numFmtId="10" fontId="7" fillId="2" borderId="6" xfId="5" applyNumberFormat="1" applyFont="1" applyFill="1" applyBorder="1" applyAlignment="1" applyProtection="1">
      <alignment horizontal="left" vertical="center"/>
    </xf>
    <xf numFmtId="164" fontId="7" fillId="0" borderId="0" xfId="2" applyNumberFormat="1" applyFont="1" applyFill="1" applyBorder="1" applyProtection="1">
      <protection locked="0"/>
    </xf>
    <xf numFmtId="44" fontId="7" fillId="2" borderId="11" xfId="2" applyFont="1" applyFill="1" applyBorder="1" applyAlignment="1" applyProtection="1"/>
    <xf numFmtId="164" fontId="7" fillId="0" borderId="0" xfId="3" applyNumberFormat="1" applyFont="1" applyProtection="1">
      <protection locked="0"/>
    </xf>
    <xf numFmtId="0" fontId="8" fillId="2" borderId="1" xfId="3" applyFont="1" applyFill="1" applyBorder="1"/>
    <xf numFmtId="44" fontId="8" fillId="2" borderId="3" xfId="2" applyFont="1" applyFill="1" applyBorder="1" applyProtection="1"/>
    <xf numFmtId="9" fontId="7" fillId="2" borderId="0" xfId="1" applyFont="1" applyFill="1" applyBorder="1" applyProtection="1"/>
    <xf numFmtId="1" fontId="7" fillId="2" borderId="0" xfId="2" applyNumberFormat="1" applyFont="1" applyFill="1" applyBorder="1" applyProtection="1"/>
    <xf numFmtId="44" fontId="7" fillId="0" borderId="6" xfId="2" applyFont="1" applyFill="1" applyBorder="1" applyAlignment="1" applyProtection="1"/>
    <xf numFmtId="0" fontId="6" fillId="7" borderId="0" xfId="3" applyFont="1" applyFill="1"/>
    <xf numFmtId="10" fontId="7" fillId="0" borderId="8" xfId="3" applyNumberFormat="1" applyFont="1" applyBorder="1" applyAlignment="1">
      <alignment horizontal="center"/>
    </xf>
    <xf numFmtId="0" fontId="7" fillId="0" borderId="11" xfId="3" applyFont="1" applyBorder="1" applyAlignment="1">
      <alignment horizontal="center"/>
    </xf>
    <xf numFmtId="44" fontId="6" fillId="7" borderId="0" xfId="2" applyFont="1" applyFill="1" applyBorder="1" applyProtection="1">
      <protection locked="0"/>
    </xf>
    <xf numFmtId="164" fontId="7" fillId="0" borderId="5" xfId="2" applyNumberFormat="1" applyFont="1" applyFill="1" applyBorder="1" applyProtection="1">
      <protection locked="0"/>
    </xf>
    <xf numFmtId="44" fontId="18" fillId="2" borderId="0" xfId="2" applyFont="1" applyFill="1" applyBorder="1" applyAlignment="1" applyProtection="1"/>
    <xf numFmtId="44" fontId="7" fillId="5" borderId="0" xfId="2" applyFont="1" applyFill="1" applyBorder="1" applyProtection="1"/>
    <xf numFmtId="4" fontId="7" fillId="0" borderId="5" xfId="3" applyNumberFormat="1" applyFont="1" applyBorder="1" applyProtection="1">
      <protection locked="0"/>
    </xf>
    <xf numFmtId="44" fontId="18" fillId="2" borderId="0" xfId="2" applyFont="1" applyFill="1" applyBorder="1" applyProtection="1"/>
    <xf numFmtId="44" fontId="7" fillId="2" borderId="11" xfId="2" applyFont="1" applyFill="1" applyBorder="1" applyProtection="1"/>
    <xf numFmtId="44" fontId="7" fillId="2" borderId="4" xfId="2" applyFont="1" applyFill="1" applyBorder="1" applyProtection="1"/>
    <xf numFmtId="0" fontId="8" fillId="2" borderId="9" xfId="3" applyFont="1" applyFill="1" applyBorder="1"/>
    <xf numFmtId="44" fontId="8" fillId="2" borderId="10" xfId="2" applyFont="1" applyFill="1" applyBorder="1" applyAlignment="1" applyProtection="1"/>
    <xf numFmtId="0" fontId="18" fillId="0" borderId="14" xfId="0" applyFont="1" applyBorder="1"/>
    <xf numFmtId="44" fontId="7" fillId="0" borderId="14" xfId="2" applyFont="1" applyBorder="1" applyProtection="1">
      <protection locked="0"/>
    </xf>
    <xf numFmtId="10" fontId="8" fillId="2" borderId="0" xfId="5" applyNumberFormat="1" applyFont="1" applyFill="1" applyBorder="1" applyAlignment="1" applyProtection="1">
      <alignment horizontal="right"/>
    </xf>
    <xf numFmtId="0" fontId="8" fillId="0" borderId="0" xfId="3" applyFont="1"/>
    <xf numFmtId="44" fontId="6" fillId="0" borderId="0" xfId="2" applyFont="1" applyFill="1" applyBorder="1" applyProtection="1"/>
    <xf numFmtId="8" fontId="7" fillId="0" borderId="0" xfId="3" applyNumberFormat="1" applyFont="1"/>
    <xf numFmtId="4" fontId="7" fillId="0" borderId="5" xfId="3" applyNumberFormat="1" applyFont="1" applyBorder="1"/>
    <xf numFmtId="10" fontId="8" fillId="0" borderId="0" xfId="5" applyNumberFormat="1" applyFont="1" applyFill="1" applyBorder="1" applyAlignment="1" applyProtection="1">
      <alignment horizontal="left" vertical="center"/>
    </xf>
    <xf numFmtId="164" fontId="7" fillId="0" borderId="6" xfId="3" applyNumberFormat="1" applyFont="1" applyBorder="1"/>
    <xf numFmtId="0" fontId="7" fillId="0" borderId="15" xfId="3" applyFont="1" applyBorder="1"/>
    <xf numFmtId="44" fontId="8" fillId="0" borderId="8" xfId="2" applyFont="1" applyFill="1" applyBorder="1" applyProtection="1"/>
    <xf numFmtId="164" fontId="7" fillId="0" borderId="0" xfId="3" applyNumberFormat="1" applyFont="1"/>
    <xf numFmtId="164" fontId="7" fillId="0" borderId="6" xfId="2" applyNumberFormat="1" applyFont="1" applyFill="1" applyBorder="1" applyProtection="1"/>
    <xf numFmtId="44" fontId="7" fillId="0" borderId="0" xfId="2" applyFont="1" applyProtection="1"/>
    <xf numFmtId="4" fontId="7" fillId="0" borderId="0" xfId="3" applyNumberFormat="1" applyFont="1"/>
    <xf numFmtId="4" fontId="6" fillId="3" borderId="5" xfId="3" applyNumberFormat="1" applyFont="1" applyFill="1" applyBorder="1"/>
    <xf numFmtId="4" fontId="6" fillId="3" borderId="0" xfId="3" applyNumberFormat="1" applyFont="1" applyFill="1"/>
    <xf numFmtId="164" fontId="7" fillId="3" borderId="6" xfId="2" applyNumberFormat="1" applyFont="1" applyFill="1" applyBorder="1" applyProtection="1"/>
    <xf numFmtId="4" fontId="18" fillId="0" borderId="5" xfId="3" applyNumberFormat="1" applyFont="1" applyBorder="1"/>
    <xf numFmtId="4" fontId="7" fillId="0" borderId="6" xfId="3" applyNumberFormat="1" applyFont="1" applyBorder="1"/>
    <xf numFmtId="0" fontId="7" fillId="0" borderId="5" xfId="3" applyFont="1" applyBorder="1" applyAlignment="1" applyProtection="1">
      <alignment horizontal="left"/>
      <protection locked="0"/>
    </xf>
    <xf numFmtId="44" fontId="7" fillId="0" borderId="0" xfId="3" applyNumberFormat="1" applyFont="1" applyProtection="1">
      <protection locked="0"/>
    </xf>
    <xf numFmtId="49" fontId="7" fillId="0" borderId="5" xfId="3" applyNumberFormat="1" applyFont="1" applyBorder="1" applyAlignment="1" applyProtection="1">
      <alignment horizontal="left"/>
      <protection locked="0"/>
    </xf>
    <xf numFmtId="44" fontId="7" fillId="0" borderId="14" xfId="3" applyNumberFormat="1" applyFont="1" applyBorder="1" applyProtection="1">
      <protection locked="0"/>
    </xf>
    <xf numFmtId="0" fontId="7" fillId="0" borderId="14" xfId="3" applyFont="1" applyBorder="1" applyProtection="1">
      <protection locked="0"/>
    </xf>
    <xf numFmtId="164" fontId="8" fillId="0" borderId="6" xfId="2" applyNumberFormat="1" applyFont="1" applyFill="1" applyBorder="1" applyProtection="1"/>
    <xf numFmtId="4" fontId="7" fillId="0" borderId="6" xfId="3" applyNumberFormat="1" applyFont="1" applyBorder="1" applyAlignment="1">
      <alignment horizontal="center"/>
    </xf>
    <xf numFmtId="164" fontId="8" fillId="0" borderId="0" xfId="2" applyNumberFormat="1" applyFont="1" applyFill="1" applyBorder="1" applyProtection="1"/>
    <xf numFmtId="44" fontId="7" fillId="0" borderId="15" xfId="3" applyNumberFormat="1" applyFont="1" applyBorder="1"/>
    <xf numFmtId="4" fontId="7" fillId="0" borderId="8" xfId="3" applyNumberFormat="1" applyFont="1" applyBorder="1" applyAlignment="1">
      <alignment horizontal="center"/>
    </xf>
    <xf numFmtId="4" fontId="7" fillId="0" borderId="11" xfId="3" applyNumberFormat="1" applyFont="1" applyBorder="1"/>
    <xf numFmtId="4" fontId="6" fillId="0" borderId="0" xfId="3" applyNumberFormat="1" applyFont="1" applyAlignment="1">
      <alignment horizontal="center"/>
    </xf>
    <xf numFmtId="4" fontId="8" fillId="0" borderId="0" xfId="3" applyNumberFormat="1" applyFont="1" applyAlignment="1">
      <alignment horizontal="right"/>
    </xf>
    <xf numFmtId="44" fontId="8" fillId="0" borderId="0" xfId="2" applyFont="1" applyFill="1" applyBorder="1" applyAlignment="1" applyProtection="1">
      <alignment horizontal="center"/>
    </xf>
    <xf numFmtId="44" fontId="7" fillId="0" borderId="0" xfId="2" applyFont="1"/>
    <xf numFmtId="10" fontId="7" fillId="2" borderId="6" xfId="3" applyNumberFormat="1" applyFont="1" applyFill="1" applyBorder="1" applyAlignment="1">
      <alignment horizontal="center"/>
    </xf>
    <xf numFmtId="9" fontId="6" fillId="3" borderId="5" xfId="5" applyFont="1" applyFill="1" applyBorder="1" applyAlignment="1" applyProtection="1">
      <alignment horizontal="center" vertical="center"/>
    </xf>
    <xf numFmtId="0" fontId="8" fillId="2" borderId="0" xfId="3" applyFont="1" applyFill="1" applyAlignment="1">
      <alignment horizontal="center"/>
    </xf>
    <xf numFmtId="0" fontId="6" fillId="8" borderId="5" xfId="3" applyFont="1" applyFill="1" applyBorder="1" applyAlignment="1">
      <alignment horizontal="center"/>
    </xf>
    <xf numFmtId="0" fontId="6" fillId="8" borderId="0" xfId="3" applyFont="1" applyFill="1"/>
    <xf numFmtId="0" fontId="6" fillId="8" borderId="6" xfId="3" applyFont="1" applyFill="1" applyBorder="1"/>
    <xf numFmtId="0" fontId="8" fillId="2" borderId="6" xfId="3" applyFont="1" applyFill="1" applyBorder="1" applyAlignment="1">
      <alignment horizontal="left" vertical="center"/>
    </xf>
    <xf numFmtId="0" fontId="7" fillId="2" borderId="7" xfId="3" applyFont="1" applyFill="1" applyBorder="1" applyAlignment="1">
      <alignment horizontal="left"/>
    </xf>
    <xf numFmtId="0" fontId="8" fillId="2" borderId="8" xfId="3" applyFont="1" applyFill="1" applyBorder="1" applyAlignment="1">
      <alignment horizontal="left"/>
    </xf>
    <xf numFmtId="168" fontId="18" fillId="2" borderId="0" xfId="0" applyNumberFormat="1" applyFont="1" applyFill="1" applyAlignment="1">
      <alignment horizontal="center"/>
    </xf>
    <xf numFmtId="0" fontId="8" fillId="2" borderId="0" xfId="3" applyFont="1" applyFill="1" applyAlignment="1">
      <alignment horizontal="left"/>
    </xf>
    <xf numFmtId="168" fontId="18" fillId="2" borderId="1" xfId="0" applyNumberFormat="1" applyFont="1" applyFill="1" applyBorder="1" applyAlignment="1">
      <alignment horizontal="left"/>
    </xf>
    <xf numFmtId="168" fontId="18" fillId="2" borderId="0" xfId="0" applyNumberFormat="1" applyFont="1" applyFill="1" applyAlignment="1">
      <alignment horizontal="left"/>
    </xf>
    <xf numFmtId="168" fontId="19" fillId="0" borderId="0" xfId="0" applyNumberFormat="1" applyFont="1" applyAlignment="1">
      <alignment horizontal="left"/>
    </xf>
    <xf numFmtId="168" fontId="18" fillId="2" borderId="1" xfId="0" applyNumberFormat="1" applyFont="1" applyFill="1" applyBorder="1"/>
    <xf numFmtId="168" fontId="18" fillId="2" borderId="0" xfId="0" applyNumberFormat="1" applyFont="1" applyFill="1"/>
    <xf numFmtId="0" fontId="18" fillId="2" borderId="0" xfId="0" applyFont="1" applyFill="1"/>
    <xf numFmtId="168" fontId="7" fillId="2" borderId="1" xfId="3" applyNumberFormat="1" applyFont="1" applyFill="1" applyBorder="1"/>
    <xf numFmtId="167" fontId="7" fillId="0" borderId="0" xfId="2" applyNumberFormat="1" applyFont="1" applyFill="1" applyBorder="1" applyAlignment="1" applyProtection="1">
      <alignment horizontal="left"/>
    </xf>
    <xf numFmtId="9" fontId="17" fillId="2" borderId="0" xfId="5" applyFont="1" applyFill="1" applyBorder="1" applyAlignment="1" applyProtection="1">
      <alignment horizontal="center" vertical="center"/>
    </xf>
    <xf numFmtId="44" fontId="17" fillId="2" borderId="0" xfId="2" applyFont="1" applyFill="1" applyBorder="1" applyAlignment="1" applyProtection="1">
      <alignment horizontal="center" vertical="center"/>
      <protection locked="0"/>
    </xf>
    <xf numFmtId="44" fontId="7" fillId="9" borderId="0" xfId="2" applyFont="1" applyFill="1" applyBorder="1" applyProtection="1">
      <protection locked="0"/>
    </xf>
    <xf numFmtId="44" fontId="7" fillId="9" borderId="0" xfId="2" applyFont="1" applyFill="1" applyBorder="1" applyProtection="1"/>
    <xf numFmtId="0" fontId="7" fillId="9" borderId="0" xfId="3" applyFont="1" applyFill="1" applyProtection="1">
      <protection locked="0"/>
    </xf>
    <xf numFmtId="0" fontId="7" fillId="9" borderId="6" xfId="3" applyFont="1" applyFill="1" applyBorder="1"/>
    <xf numFmtId="168" fontId="7" fillId="9" borderId="0" xfId="3" applyNumberFormat="1" applyFont="1" applyFill="1"/>
    <xf numFmtId="0" fontId="16" fillId="9" borderId="6" xfId="3" applyFont="1" applyFill="1" applyBorder="1"/>
    <xf numFmtId="3" fontId="7" fillId="9" borderId="0" xfId="3" applyNumberFormat="1" applyFont="1" applyFill="1"/>
    <xf numFmtId="44" fontId="7" fillId="9" borderId="0" xfId="2" applyFont="1" applyFill="1" applyBorder="1" applyAlignment="1" applyProtection="1"/>
    <xf numFmtId="44" fontId="8" fillId="9" borderId="0" xfId="5" applyNumberFormat="1" applyFont="1" applyFill="1" applyBorder="1" applyAlignment="1" applyProtection="1"/>
    <xf numFmtId="10" fontId="8" fillId="9" borderId="6" xfId="5" applyNumberFormat="1" applyFont="1" applyFill="1" applyBorder="1" applyAlignment="1" applyProtection="1"/>
    <xf numFmtId="44" fontId="7" fillId="9" borderId="0" xfId="2" applyFont="1" applyFill="1" applyBorder="1" applyAlignment="1" applyProtection="1">
      <alignment horizontal="right"/>
    </xf>
    <xf numFmtId="14" fontId="7" fillId="9" borderId="0" xfId="3" applyNumberFormat="1" applyFont="1" applyFill="1" applyProtection="1">
      <protection locked="0"/>
    </xf>
    <xf numFmtId="0" fontId="21" fillId="2" borderId="0" xfId="3" applyFont="1" applyFill="1"/>
    <xf numFmtId="0" fontId="21" fillId="2" borderId="0" xfId="3" applyFont="1" applyFill="1" applyAlignment="1">
      <alignment horizontal="right"/>
    </xf>
    <xf numFmtId="44" fontId="21" fillId="2" borderId="0" xfId="3" applyNumberFormat="1" applyFont="1" applyFill="1"/>
    <xf numFmtId="10" fontId="7" fillId="2" borderId="2" xfId="5" applyNumberFormat="1" applyFont="1" applyFill="1" applyBorder="1" applyAlignment="1" applyProtection="1">
      <alignment horizontal="right"/>
    </xf>
    <xf numFmtId="0" fontId="7" fillId="2" borderId="1" xfId="3" applyFont="1" applyFill="1" applyBorder="1"/>
    <xf numFmtId="0" fontId="7" fillId="2" borderId="3" xfId="3" applyFont="1" applyFill="1" applyBorder="1"/>
    <xf numFmtId="10" fontId="7" fillId="2" borderId="15" xfId="5" applyNumberFormat="1" applyFont="1" applyFill="1" applyBorder="1" applyAlignment="1" applyProtection="1">
      <alignment horizontal="right"/>
    </xf>
    <xf numFmtId="164" fontId="19" fillId="2" borderId="8" xfId="2" applyNumberFormat="1" applyFont="1" applyFill="1" applyBorder="1" applyAlignment="1" applyProtection="1"/>
    <xf numFmtId="0" fontId="18" fillId="2" borderId="8" xfId="3" applyFont="1" applyFill="1" applyBorder="1"/>
    <xf numFmtId="10" fontId="8" fillId="0" borderId="11" xfId="5" applyNumberFormat="1" applyFont="1" applyFill="1" applyBorder="1" applyAlignment="1" applyProtection="1">
      <alignment horizontal="left" vertical="center"/>
    </xf>
    <xf numFmtId="10" fontId="7" fillId="9" borderId="5" xfId="5" applyNumberFormat="1" applyFont="1" applyFill="1" applyBorder="1" applyAlignment="1" applyProtection="1">
      <alignment horizontal="right"/>
      <protection locked="0"/>
    </xf>
    <xf numFmtId="164" fontId="7" fillId="9" borderId="0" xfId="1" applyNumberFormat="1" applyFont="1" applyFill="1" applyBorder="1" applyAlignment="1" applyProtection="1">
      <alignment horizontal="right"/>
      <protection locked="0"/>
    </xf>
    <xf numFmtId="9" fontId="8" fillId="2" borderId="1" xfId="5" applyFont="1" applyFill="1" applyBorder="1" applyAlignment="1" applyProtection="1"/>
    <xf numFmtId="14" fontId="7" fillId="9" borderId="1" xfId="5" applyNumberFormat="1" applyFont="1" applyFill="1" applyBorder="1" applyAlignment="1" applyProtection="1">
      <protection locked="0"/>
    </xf>
    <xf numFmtId="9" fontId="8" fillId="2" borderId="3" xfId="1" applyFont="1" applyFill="1" applyBorder="1" applyAlignment="1" applyProtection="1">
      <alignment horizontal="left" vertical="center"/>
    </xf>
    <xf numFmtId="168" fontId="8" fillId="0" borderId="16" xfId="2" applyNumberFormat="1" applyFont="1" applyFill="1" applyBorder="1" applyProtection="1"/>
    <xf numFmtId="0" fontId="18" fillId="2" borderId="0" xfId="3" applyFont="1" applyFill="1"/>
    <xf numFmtId="10" fontId="18" fillId="2" borderId="0" xfId="1" applyNumberFormat="1" applyFont="1" applyFill="1" applyBorder="1" applyAlignment="1" applyProtection="1">
      <alignment horizontal="left" vertical="center"/>
    </xf>
    <xf numFmtId="7" fontId="18" fillId="2" borderId="0" xfId="3" applyNumberFormat="1" applyFont="1" applyFill="1" applyAlignment="1">
      <alignment horizontal="left" vertical="center"/>
    </xf>
    <xf numFmtId="10" fontId="18" fillId="2" borderId="0" xfId="1" applyNumberFormat="1" applyFont="1" applyFill="1" applyBorder="1" applyAlignment="1" applyProtection="1">
      <alignment horizontal="center"/>
    </xf>
    <xf numFmtId="9" fontId="18" fillId="2" borderId="0" xfId="3" applyNumberFormat="1" applyFont="1" applyFill="1" applyAlignment="1">
      <alignment horizontal="left"/>
    </xf>
    <xf numFmtId="0" fontId="5" fillId="8" borderId="0" xfId="3" applyFont="1" applyFill="1" applyAlignment="1" applyProtection="1">
      <alignment horizontal="left"/>
      <protection locked="0"/>
    </xf>
    <xf numFmtId="168" fontId="7" fillId="0" borderId="0" xfId="3" applyNumberFormat="1" applyFont="1"/>
    <xf numFmtId="44" fontId="8" fillId="4" borderId="0" xfId="2" applyFont="1" applyFill="1" applyBorder="1" applyAlignment="1" applyProtection="1">
      <alignment horizontal="right" vertical="center"/>
    </xf>
    <xf numFmtId="44" fontId="7" fillId="4" borderId="0" xfId="2" applyFont="1" applyFill="1" applyBorder="1" applyProtection="1"/>
    <xf numFmtId="10" fontId="8" fillId="4" borderId="2" xfId="5" applyNumberFormat="1" applyFont="1" applyFill="1" applyBorder="1" applyAlignment="1" applyProtection="1">
      <alignment horizontal="right"/>
    </xf>
    <xf numFmtId="44" fontId="22" fillId="4" borderId="1" xfId="2" applyFont="1" applyFill="1" applyBorder="1" applyProtection="1"/>
    <xf numFmtId="0" fontId="22" fillId="2" borderId="1" xfId="3" applyFont="1" applyFill="1" applyBorder="1"/>
    <xf numFmtId="10" fontId="8" fillId="4" borderId="5" xfId="5" applyNumberFormat="1" applyFont="1" applyFill="1" applyBorder="1" applyAlignment="1" applyProtection="1">
      <alignment horizontal="right"/>
      <protection locked="0"/>
    </xf>
    <xf numFmtId="44" fontId="8" fillId="4" borderId="1" xfId="2" applyFont="1" applyFill="1" applyBorder="1" applyProtection="1">
      <protection locked="0"/>
    </xf>
    <xf numFmtId="44" fontId="7" fillId="4" borderId="0" xfId="2" applyFont="1" applyFill="1" applyBorder="1" applyAlignment="1" applyProtection="1">
      <alignment horizontal="right"/>
    </xf>
    <xf numFmtId="164" fontId="7" fillId="4" borderId="0" xfId="2" applyNumberFormat="1" applyFont="1" applyFill="1" applyBorder="1" applyAlignment="1" applyProtection="1">
      <alignment horizontal="right"/>
      <protection locked="0"/>
    </xf>
    <xf numFmtId="0" fontId="7" fillId="4" borderId="0" xfId="3" applyFont="1" applyFill="1" applyProtection="1">
      <protection locked="0"/>
    </xf>
    <xf numFmtId="0" fontId="7" fillId="4" borderId="0" xfId="3" applyFont="1" applyFill="1"/>
    <xf numFmtId="0" fontId="8" fillId="4" borderId="0" xfId="3" applyFont="1" applyFill="1"/>
    <xf numFmtId="44" fontId="8" fillId="4" borderId="0" xfId="2" applyFont="1" applyFill="1" applyBorder="1" applyProtection="1"/>
    <xf numFmtId="164" fontId="8" fillId="4" borderId="0" xfId="2" applyNumberFormat="1" applyFont="1" applyFill="1" applyBorder="1" applyAlignment="1" applyProtection="1">
      <alignment horizontal="right"/>
    </xf>
    <xf numFmtId="10" fontId="7" fillId="2" borderId="0" xfId="3" applyNumberFormat="1" applyFont="1" applyFill="1" applyAlignment="1" applyProtection="1">
      <alignment horizontal="center"/>
      <protection locked="0"/>
    </xf>
    <xf numFmtId="164" fontId="7" fillId="2" borderId="0" xfId="3" applyNumberFormat="1" applyFont="1" applyFill="1" applyAlignment="1" applyProtection="1">
      <alignment horizontal="center"/>
      <protection locked="0"/>
    </xf>
    <xf numFmtId="9" fontId="6" fillId="3" borderId="0" xfId="5" applyFont="1" applyFill="1" applyBorder="1" applyAlignment="1" applyProtection="1">
      <alignment horizontal="center" vertical="center"/>
    </xf>
    <xf numFmtId="9" fontId="6" fillId="3" borderId="6" xfId="5" applyFont="1" applyFill="1" applyBorder="1" applyAlignment="1" applyProtection="1">
      <alignment horizontal="center" vertical="center"/>
    </xf>
    <xf numFmtId="4" fontId="7" fillId="0" borderId="0" xfId="3" applyNumberFormat="1" applyFont="1" applyAlignment="1" applyProtection="1">
      <alignment horizontal="center"/>
      <protection locked="0"/>
    </xf>
    <xf numFmtId="10" fontId="7" fillId="2" borderId="0" xfId="3" applyNumberFormat="1" applyFont="1" applyFill="1" applyAlignment="1">
      <alignment horizontal="center"/>
    </xf>
    <xf numFmtId="10" fontId="7" fillId="2" borderId="6" xfId="3" applyNumberFormat="1" applyFont="1" applyFill="1" applyBorder="1" applyAlignment="1">
      <alignment horizontal="center"/>
    </xf>
    <xf numFmtId="0" fontId="17" fillId="7" borderId="9" xfId="3" applyFont="1" applyFill="1" applyBorder="1" applyAlignment="1">
      <alignment horizontal="center"/>
    </xf>
    <xf numFmtId="0" fontId="17" fillId="7" borderId="10" xfId="3" applyFont="1" applyFill="1" applyBorder="1" applyAlignment="1">
      <alignment horizontal="center"/>
    </xf>
    <xf numFmtId="9" fontId="6" fillId="3" borderId="5" xfId="5" applyFont="1" applyFill="1" applyBorder="1" applyAlignment="1" applyProtection="1">
      <alignment horizontal="center" vertical="center"/>
    </xf>
    <xf numFmtId="0" fontId="6" fillId="7" borderId="9" xfId="3" applyFont="1" applyFill="1" applyBorder="1" applyAlignment="1">
      <alignment horizontal="center"/>
    </xf>
    <xf numFmtId="0" fontId="6" fillId="7" borderId="10" xfId="3" applyFont="1" applyFill="1" applyBorder="1" applyAlignment="1">
      <alignment horizontal="center"/>
    </xf>
    <xf numFmtId="0" fontId="8" fillId="2" borderId="1" xfId="3" applyFont="1" applyFill="1" applyBorder="1" applyAlignment="1">
      <alignment horizontal="center" vertical="center"/>
    </xf>
    <xf numFmtId="0" fontId="8" fillId="2" borderId="0" xfId="3" applyFont="1" applyFill="1" applyAlignment="1">
      <alignment horizontal="center" vertical="center"/>
    </xf>
    <xf numFmtId="44" fontId="8" fillId="2" borderId="3" xfId="2" applyFont="1" applyFill="1" applyBorder="1" applyAlignment="1" applyProtection="1">
      <alignment horizontal="center" vertical="center"/>
    </xf>
    <xf numFmtId="44" fontId="8" fillId="2" borderId="6" xfId="2" applyFont="1" applyFill="1" applyBorder="1" applyAlignment="1" applyProtection="1">
      <alignment horizontal="center" vertical="center"/>
    </xf>
    <xf numFmtId="0" fontId="7" fillId="2" borderId="0" xfId="3" applyFont="1" applyFill="1" applyAlignment="1">
      <alignment horizontal="right"/>
    </xf>
    <xf numFmtId="0" fontId="17" fillId="7" borderId="8" xfId="3" applyFont="1" applyFill="1" applyBorder="1" applyAlignment="1">
      <alignment horizontal="center"/>
    </xf>
    <xf numFmtId="10" fontId="8" fillId="0" borderId="5" xfId="5" applyNumberFormat="1" applyFont="1" applyFill="1" applyBorder="1" applyAlignment="1" applyProtection="1">
      <alignment horizontal="center"/>
    </xf>
    <xf numFmtId="10" fontId="8" fillId="0" borderId="0" xfId="5" applyNumberFormat="1" applyFont="1" applyFill="1" applyBorder="1" applyAlignment="1" applyProtection="1">
      <alignment horizontal="center"/>
    </xf>
    <xf numFmtId="10" fontId="8" fillId="0" borderId="6" xfId="5" applyNumberFormat="1" applyFont="1" applyFill="1" applyBorder="1" applyAlignment="1" applyProtection="1">
      <alignment horizontal="center"/>
    </xf>
    <xf numFmtId="0" fontId="6" fillId="7" borderId="9" xfId="3" applyFont="1" applyFill="1" applyBorder="1" applyAlignment="1" applyProtection="1">
      <alignment horizontal="center"/>
      <protection locked="0"/>
    </xf>
    <xf numFmtId="0" fontId="6" fillId="7" borderId="10" xfId="3" applyFont="1" applyFill="1" applyBorder="1" applyAlignment="1" applyProtection="1">
      <alignment horizontal="center"/>
      <protection locked="0"/>
    </xf>
    <xf numFmtId="9" fontId="8" fillId="0" borderId="5" xfId="5" applyFont="1" applyFill="1" applyBorder="1" applyAlignment="1" applyProtection="1">
      <alignment horizontal="center" vertical="center"/>
    </xf>
    <xf numFmtId="9" fontId="8" fillId="0" borderId="0" xfId="5" applyFont="1" applyFill="1" applyBorder="1" applyAlignment="1" applyProtection="1">
      <alignment horizontal="center" vertical="center"/>
    </xf>
    <xf numFmtId="9" fontId="8" fillId="0" borderId="6" xfId="5" applyFont="1" applyFill="1" applyBorder="1" applyAlignment="1" applyProtection="1">
      <alignment horizontal="center" vertical="center"/>
    </xf>
    <xf numFmtId="0" fontId="23" fillId="8" borderId="2" xfId="3" applyFont="1" applyFill="1" applyBorder="1" applyAlignment="1">
      <alignment horizontal="center" vertical="top"/>
    </xf>
    <xf numFmtId="0" fontId="23" fillId="8" borderId="1" xfId="3" applyFont="1" applyFill="1" applyBorder="1" applyAlignment="1">
      <alignment horizontal="center" vertical="top"/>
    </xf>
    <xf numFmtId="0" fontId="23" fillId="8" borderId="3" xfId="3" applyFont="1" applyFill="1" applyBorder="1" applyAlignment="1">
      <alignment horizontal="center" vertical="top"/>
    </xf>
    <xf numFmtId="16" fontId="5" fillId="7" borderId="1" xfId="3" applyNumberFormat="1" applyFont="1" applyFill="1" applyBorder="1" applyAlignment="1" applyProtection="1">
      <alignment horizontal="center" vertical="center"/>
      <protection locked="0"/>
    </xf>
    <xf numFmtId="0" fontId="5" fillId="7" borderId="1" xfId="3" applyFont="1" applyFill="1" applyBorder="1" applyAlignment="1" applyProtection="1">
      <alignment horizontal="center" vertical="center"/>
      <protection locked="0"/>
    </xf>
    <xf numFmtId="14" fontId="6" fillId="5" borderId="2" xfId="3" applyNumberFormat="1" applyFont="1" applyFill="1" applyBorder="1" applyAlignment="1">
      <alignment horizontal="left"/>
    </xf>
    <xf numFmtId="14" fontId="6" fillId="5" borderId="1" xfId="3" applyNumberFormat="1" applyFont="1" applyFill="1" applyBorder="1" applyAlignment="1">
      <alignment horizontal="left"/>
    </xf>
    <xf numFmtId="0" fontId="24" fillId="7" borderId="0" xfId="3" applyFont="1" applyFill="1" applyAlignment="1">
      <alignment horizontal="center"/>
    </xf>
    <xf numFmtId="9" fontId="25" fillId="8" borderId="0" xfId="4" applyFont="1" applyFill="1" applyBorder="1" applyAlignment="1" applyProtection="1">
      <alignment horizontal="left" wrapText="1"/>
      <protection locked="0"/>
    </xf>
    <xf numFmtId="9" fontId="26" fillId="8" borderId="0" xfId="4" applyFont="1" applyFill="1" applyBorder="1" applyAlignment="1" applyProtection="1">
      <alignment horizontal="left"/>
      <protection locked="0"/>
    </xf>
    <xf numFmtId="0" fontId="27" fillId="10" borderId="4" xfId="3" applyFont="1" applyFill="1" applyBorder="1" applyAlignment="1" applyProtection="1">
      <alignment horizontal="center" vertical="center"/>
      <protection locked="0"/>
    </xf>
    <xf numFmtId="0" fontId="8" fillId="2" borderId="0" xfId="3" applyFont="1" applyFill="1" applyAlignment="1">
      <alignment horizontal="center"/>
    </xf>
    <xf numFmtId="0" fontId="7" fillId="2" borderId="1" xfId="3" applyFont="1" applyFill="1" applyBorder="1" applyAlignment="1">
      <alignment horizontal="right"/>
    </xf>
  </cellXfs>
  <cellStyles count="6">
    <cellStyle name="Currency" xfId="2" builtinId="4"/>
    <cellStyle name="Normal" xfId="0" builtinId="0"/>
    <cellStyle name="Normal 2" xfId="3"/>
    <cellStyle name="Percent" xfId="1" builtinId="5"/>
    <cellStyle name="Percent 2" xfId="5"/>
    <cellStyle name="Percent 4" xfId="4"/>
  </cellStyles>
  <dxfs count="28">
    <dxf>
      <fill>
        <patternFill>
          <bgColor indexed="34"/>
        </patternFill>
      </fill>
    </dxf>
    <dxf>
      <fill>
        <patternFill>
          <bgColor indexed="34"/>
        </patternFill>
      </fill>
    </dxf>
    <dxf>
      <font>
        <condense val="0"/>
        <extend val="0"/>
        <color theme="1"/>
      </font>
      <fill>
        <patternFill>
          <bgColor indexed="34"/>
        </patternFill>
      </fill>
    </dxf>
    <dxf>
      <fill>
        <patternFill>
          <bgColor indexed="34"/>
        </patternFill>
      </fill>
    </dxf>
    <dxf>
      <font>
        <condense val="0"/>
        <extend val="0"/>
        <color theme="1"/>
      </font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ont>
        <condense val="0"/>
        <extend val="0"/>
        <color theme="1"/>
      </font>
      <fill>
        <patternFill>
          <bgColor indexed="34"/>
        </patternFill>
      </fill>
    </dxf>
    <dxf>
      <font>
        <condense val="0"/>
        <extend val="0"/>
        <color theme="1"/>
      </font>
      <fill>
        <patternFill>
          <bgColor indexed="34"/>
        </patternFill>
      </fill>
    </dxf>
    <dxf>
      <fill>
        <patternFill>
          <bgColor indexed="34"/>
        </patternFill>
      </fill>
    </dxf>
    <dxf>
      <font>
        <b/>
        <i val="0"/>
        <condense val="0"/>
        <extend val="0"/>
        <color theme="0"/>
      </font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indexed="10"/>
        </patternFill>
      </fill>
    </dxf>
    <dxf>
      <fill>
        <patternFill>
          <bgColor indexed="34"/>
        </patternFill>
      </fill>
    </dxf>
    <dxf>
      <font>
        <condense val="0"/>
        <extend val="0"/>
        <color auto="1"/>
      </font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99"/>
  <sheetViews>
    <sheetView showGridLines="0" tabSelected="1" topLeftCell="A30" zoomScaleNormal="100" workbookViewId="0">
      <selection activeCell="D5" sqref="D5"/>
    </sheetView>
  </sheetViews>
  <sheetFormatPr defaultColWidth="9.28515625" defaultRowHeight="12.75" x14ac:dyDescent="0.2"/>
  <cols>
    <col min="1" max="1" width="10.28515625" style="140" customWidth="1"/>
    <col min="2" max="2" width="15.7109375" style="7" customWidth="1"/>
    <col min="3" max="3" width="28.5703125" style="7" customWidth="1"/>
    <col min="4" max="4" width="20.42578125" style="7" customWidth="1"/>
    <col min="5" max="5" width="23.28515625" style="7" customWidth="1"/>
    <col min="6" max="6" width="28.28515625" style="7" bestFit="1" customWidth="1"/>
    <col min="7" max="7" width="15.5703125" style="7" bestFit="1" customWidth="1"/>
    <col min="8" max="8" width="28.28515625" style="7" hidden="1" customWidth="1"/>
    <col min="9" max="9" width="16.28515625" style="7" hidden="1" customWidth="1"/>
    <col min="10" max="10" width="19.42578125" style="7" hidden="1" customWidth="1"/>
    <col min="11" max="11" width="29.7109375" style="7" hidden="1" customWidth="1"/>
    <col min="12" max="12" width="12.7109375" style="7" hidden="1" customWidth="1"/>
    <col min="13" max="13" width="14" style="222" hidden="1" customWidth="1"/>
    <col min="14" max="14" width="37.28515625" style="7" hidden="1" customWidth="1"/>
    <col min="15" max="15" width="17.5703125" style="251" hidden="1" customWidth="1"/>
    <col min="16" max="16" width="15.7109375" style="231" hidden="1" customWidth="1"/>
    <col min="17" max="17" width="65.42578125" style="231" hidden="1" customWidth="1"/>
    <col min="18" max="18" width="13.5703125" style="231" hidden="1" customWidth="1"/>
    <col min="19" max="19" width="20.5703125" style="231" hidden="1" customWidth="1"/>
    <col min="20" max="21" width="15.7109375" style="231" hidden="1" customWidth="1"/>
    <col min="22" max="22" width="22.28515625" style="7" hidden="1" customWidth="1"/>
    <col min="23" max="23" width="21.28515625" style="7" hidden="1" customWidth="1"/>
    <col min="24" max="24" width="20" style="7" hidden="1" customWidth="1"/>
    <col min="25" max="25" width="19.5703125" style="7" hidden="1" customWidth="1"/>
    <col min="26" max="26" width="0" style="7" hidden="1" customWidth="1"/>
    <col min="27" max="27" width="13" style="7" hidden="1" customWidth="1"/>
    <col min="28" max="28" width="0" style="7" hidden="1" customWidth="1"/>
    <col min="29" max="32" width="9.28515625" style="7"/>
    <col min="33" max="33" width="9.28515625" style="7" customWidth="1"/>
    <col min="34" max="16384" width="9.28515625" style="7"/>
  </cols>
  <sheetData>
    <row r="1" spans="1:31" ht="25.15" customHeight="1" thickBot="1" x14ac:dyDescent="0.3">
      <c r="A1" s="348" t="s">
        <v>275</v>
      </c>
      <c r="B1" s="349"/>
      <c r="C1" s="349"/>
      <c r="D1" s="349"/>
      <c r="E1" s="349"/>
      <c r="F1" s="349"/>
      <c r="G1" s="350"/>
      <c r="H1" s="351" t="s">
        <v>0</v>
      </c>
      <c r="I1" s="352"/>
      <c r="J1" s="1" t="s">
        <v>1</v>
      </c>
      <c r="K1" s="2" t="s">
        <v>2</v>
      </c>
      <c r="L1" s="3" t="s">
        <v>3</v>
      </c>
      <c r="M1" s="4"/>
      <c r="N1" s="2" t="s">
        <v>4</v>
      </c>
      <c r="O1" s="5" t="s">
        <v>3</v>
      </c>
      <c r="P1" s="4"/>
      <c r="Q1" s="353" t="s">
        <v>5</v>
      </c>
      <c r="R1" s="354"/>
      <c r="S1" s="354"/>
      <c r="T1" s="354"/>
      <c r="U1" s="6"/>
      <c r="V1" s="355" t="s">
        <v>6</v>
      </c>
      <c r="W1" s="355"/>
      <c r="X1" s="355"/>
      <c r="Y1" s="355"/>
      <c r="Z1" s="355"/>
      <c r="AA1" s="355"/>
    </row>
    <row r="2" spans="1:31" ht="22.5" customHeight="1" x14ac:dyDescent="0.25">
      <c r="A2" s="255" t="s">
        <v>7</v>
      </c>
      <c r="B2" s="356" t="s">
        <v>284</v>
      </c>
      <c r="C2" s="357"/>
      <c r="D2" s="256" t="s">
        <v>280</v>
      </c>
      <c r="E2" s="306">
        <v>4</v>
      </c>
      <c r="F2" s="256"/>
      <c r="G2" s="257"/>
      <c r="H2" s="358" t="s">
        <v>8</v>
      </c>
      <c r="I2" s="358"/>
      <c r="J2" s="9" t="s">
        <v>9</v>
      </c>
      <c r="K2" s="10" t="s">
        <v>10</v>
      </c>
      <c r="L2" s="11">
        <v>0</v>
      </c>
      <c r="M2" s="11">
        <v>0</v>
      </c>
      <c r="N2" s="10"/>
      <c r="O2" s="12" t="s">
        <v>11</v>
      </c>
      <c r="P2" s="13" t="s">
        <v>12</v>
      </c>
      <c r="Q2" s="14"/>
      <c r="R2" s="15" t="s">
        <v>13</v>
      </c>
      <c r="S2" s="16" t="s">
        <v>14</v>
      </c>
      <c r="T2" s="17" t="s">
        <v>15</v>
      </c>
      <c r="U2" s="18"/>
      <c r="V2" s="19"/>
      <c r="W2" s="19"/>
      <c r="X2" s="19"/>
      <c r="Y2" s="19"/>
      <c r="Z2" s="19"/>
      <c r="AA2" s="20"/>
    </row>
    <row r="3" spans="1:31" ht="18" customHeight="1" thickBot="1" x14ac:dyDescent="0.25">
      <c r="A3" s="253"/>
      <c r="B3" s="324" t="s">
        <v>16</v>
      </c>
      <c r="C3" s="324"/>
      <c r="D3" s="324"/>
      <c r="E3" s="324"/>
      <c r="F3" s="324"/>
      <c r="G3" s="325"/>
      <c r="H3" s="8" t="s">
        <v>17</v>
      </c>
      <c r="I3" s="8"/>
      <c r="J3" s="22" t="s">
        <v>18</v>
      </c>
      <c r="K3" s="10" t="s">
        <v>19</v>
      </c>
      <c r="L3" s="11">
        <v>0</v>
      </c>
      <c r="M3" s="11">
        <v>0</v>
      </c>
      <c r="N3" s="10" t="s">
        <v>20</v>
      </c>
      <c r="O3" s="23">
        <v>0</v>
      </c>
      <c r="P3" s="11">
        <v>0</v>
      </c>
      <c r="Q3" s="24" t="s">
        <v>21</v>
      </c>
      <c r="R3" s="25">
        <f>ROI_Adjustments</f>
        <v>0</v>
      </c>
      <c r="S3" s="23"/>
      <c r="T3" s="26"/>
      <c r="U3" s="27"/>
      <c r="V3" s="28"/>
      <c r="W3" s="28"/>
      <c r="X3" s="28" t="s">
        <v>22</v>
      </c>
      <c r="Y3" s="28" t="s">
        <v>23</v>
      </c>
      <c r="Z3" s="28" t="s">
        <v>24</v>
      </c>
      <c r="AA3" s="29" t="s">
        <v>25</v>
      </c>
    </row>
    <row r="4" spans="1:31" ht="18" customHeight="1" x14ac:dyDescent="0.2">
      <c r="A4" s="288">
        <f t="shared" ref="A4:A9" si="0">B4/$B$45</f>
        <v>0.66666666666666663</v>
      </c>
      <c r="B4" s="314">
        <v>700000</v>
      </c>
      <c r="C4" s="199" t="s">
        <v>20</v>
      </c>
      <c r="D4" s="297"/>
      <c r="E4" s="297"/>
      <c r="F4" s="298"/>
      <c r="G4" s="299" t="s">
        <v>26</v>
      </c>
      <c r="H4" s="259" t="s">
        <v>27</v>
      </c>
      <c r="I4" s="32"/>
      <c r="J4" s="33">
        <v>65000</v>
      </c>
      <c r="K4" s="10" t="s">
        <v>28</v>
      </c>
      <c r="L4" s="23">
        <v>0</v>
      </c>
      <c r="M4" s="11">
        <v>0</v>
      </c>
      <c r="N4" s="10" t="s">
        <v>29</v>
      </c>
      <c r="O4" s="23">
        <v>0</v>
      </c>
      <c r="P4" s="23">
        <v>0</v>
      </c>
      <c r="Q4" s="34"/>
      <c r="R4" s="35"/>
      <c r="S4" s="36"/>
      <c r="T4" s="37"/>
      <c r="U4" s="38"/>
      <c r="V4" s="28" t="s">
        <v>8</v>
      </c>
      <c r="W4" s="28" t="s">
        <v>30</v>
      </c>
      <c r="X4" s="28" t="s">
        <v>31</v>
      </c>
      <c r="Y4" s="28" t="s">
        <v>9</v>
      </c>
      <c r="Z4" s="28" t="s">
        <v>32</v>
      </c>
      <c r="AA4" s="29" t="s">
        <v>33</v>
      </c>
    </row>
    <row r="5" spans="1:31" ht="18" customHeight="1" x14ac:dyDescent="0.2">
      <c r="A5" s="30">
        <f t="shared" si="0"/>
        <v>0</v>
      </c>
      <c r="B5" s="283"/>
      <c r="C5" s="39" t="s">
        <v>273</v>
      </c>
      <c r="D5" s="40"/>
      <c r="E5" s="39"/>
      <c r="F5" s="284"/>
      <c r="G5" s="258" t="s">
        <v>34</v>
      </c>
      <c r="H5" s="107" t="s">
        <v>35</v>
      </c>
      <c r="I5" s="41">
        <f>J5/J4</f>
        <v>0</v>
      </c>
      <c r="J5" s="42">
        <v>0</v>
      </c>
      <c r="K5" s="43" t="s">
        <v>36</v>
      </c>
      <c r="L5" s="44"/>
      <c r="M5" s="44"/>
      <c r="N5" s="21" t="s">
        <v>37</v>
      </c>
      <c r="O5" s="45">
        <f>SUM(O6:O7)</f>
        <v>0</v>
      </c>
      <c r="P5" s="45">
        <f>SUM(P6:P7)</f>
        <v>0</v>
      </c>
      <c r="Q5" s="34"/>
      <c r="R5" s="35"/>
      <c r="S5" s="36"/>
      <c r="T5" s="37"/>
      <c r="U5" s="38"/>
      <c r="V5" s="28" t="s">
        <v>38</v>
      </c>
      <c r="W5" s="28" t="s">
        <v>39</v>
      </c>
      <c r="X5" s="28" t="s">
        <v>40</v>
      </c>
      <c r="Y5" s="28" t="s">
        <v>41</v>
      </c>
      <c r="AA5" s="29" t="s">
        <v>42</v>
      </c>
    </row>
    <row r="6" spans="1:31" ht="18" customHeight="1" thickBot="1" x14ac:dyDescent="0.25">
      <c r="A6" s="30">
        <f t="shared" si="0"/>
        <v>9.5238095238095247E-3</v>
      </c>
      <c r="B6" s="315">
        <v>10000</v>
      </c>
      <c r="C6" s="318" t="s">
        <v>274</v>
      </c>
      <c r="D6" s="40"/>
      <c r="E6" s="254"/>
      <c r="F6" s="39"/>
      <c r="G6" s="57"/>
      <c r="H6" s="260"/>
      <c r="I6" s="47"/>
      <c r="J6" s="48">
        <f>IF(OR(H2="Estimated Prelim",H2="Acquistion Approved"),J4-J5,L2-M3)</f>
        <v>65000</v>
      </c>
      <c r="K6" s="49"/>
      <c r="L6" s="11">
        <v>0</v>
      </c>
      <c r="M6" s="11">
        <v>0</v>
      </c>
      <c r="N6" s="10" t="s">
        <v>43</v>
      </c>
      <c r="O6" s="23">
        <v>0</v>
      </c>
      <c r="P6" s="23">
        <v>0</v>
      </c>
      <c r="Q6" s="49"/>
      <c r="R6" s="23"/>
      <c r="S6" s="23"/>
      <c r="T6" s="50"/>
      <c r="U6" s="51"/>
      <c r="V6" s="28" t="s">
        <v>44</v>
      </c>
      <c r="W6" s="28" t="s">
        <v>45</v>
      </c>
      <c r="X6" s="28" t="s">
        <v>46</v>
      </c>
      <c r="Y6" s="28" t="s">
        <v>47</v>
      </c>
      <c r="AA6" s="29" t="s">
        <v>48</v>
      </c>
    </row>
    <row r="7" spans="1:31" ht="18" customHeight="1" thickBot="1" x14ac:dyDescent="0.25">
      <c r="A7" s="30">
        <f t="shared" si="0"/>
        <v>0</v>
      </c>
      <c r="B7" s="283"/>
      <c r="C7" s="39" t="s">
        <v>281</v>
      </c>
      <c r="D7" s="40"/>
      <c r="E7" s="359"/>
      <c r="F7" s="359"/>
      <c r="G7" s="52"/>
      <c r="H7" s="53" t="s">
        <v>49</v>
      </c>
      <c r="I7" s="53"/>
      <c r="J7" s="54" t="s">
        <v>18</v>
      </c>
      <c r="K7" s="49"/>
      <c r="L7" s="11">
        <v>0</v>
      </c>
      <c r="M7" s="11">
        <v>0</v>
      </c>
      <c r="N7" s="10" t="s">
        <v>50</v>
      </c>
      <c r="O7" s="23">
        <v>0</v>
      </c>
      <c r="P7" s="23">
        <v>0</v>
      </c>
      <c r="Q7" s="55" t="s">
        <v>51</v>
      </c>
      <c r="R7" s="56">
        <f>L59*-1</f>
        <v>0</v>
      </c>
      <c r="S7" s="23"/>
      <c r="T7" s="50"/>
      <c r="U7" s="29"/>
      <c r="V7" s="7" t="s">
        <v>52</v>
      </c>
      <c r="W7" s="28" t="s">
        <v>53</v>
      </c>
      <c r="X7" s="28" t="s">
        <v>54</v>
      </c>
      <c r="Y7" s="28" t="s">
        <v>55</v>
      </c>
      <c r="AA7" s="29" t="s">
        <v>56</v>
      </c>
    </row>
    <row r="8" spans="1:31" ht="18" customHeight="1" x14ac:dyDescent="0.2">
      <c r="A8" s="30" t="e">
        <f t="shared" si="0"/>
        <v>#VALUE!</v>
      </c>
      <c r="B8" s="296" t="s">
        <v>283</v>
      </c>
      <c r="C8" s="39" t="s">
        <v>57</v>
      </c>
      <c r="D8" s="39"/>
      <c r="E8" s="39"/>
      <c r="F8" s="39"/>
      <c r="G8" s="57"/>
      <c r="H8" s="360" t="s">
        <v>58</v>
      </c>
      <c r="I8" s="360"/>
      <c r="J8" s="58" t="s">
        <v>24</v>
      </c>
      <c r="K8" s="50"/>
      <c r="L8" s="11">
        <v>0</v>
      </c>
      <c r="M8" s="11">
        <v>0</v>
      </c>
      <c r="N8" s="59" t="s">
        <v>59</v>
      </c>
      <c r="O8" s="60">
        <f>SUM(O9:O15)</f>
        <v>0</v>
      </c>
      <c r="P8" s="60">
        <f>SUM(P9:P15)</f>
        <v>0</v>
      </c>
      <c r="Q8" s="43" t="s">
        <v>60</v>
      </c>
      <c r="R8" s="61">
        <f>SUM(R3:R7)</f>
        <v>0</v>
      </c>
      <c r="S8" s="61">
        <f>SUM(S3:S7)</f>
        <v>0</v>
      </c>
      <c r="T8" s="62">
        <f>SUM(T3:T7)</f>
        <v>0</v>
      </c>
      <c r="U8" s="63"/>
      <c r="V8" s="28" t="s">
        <v>4</v>
      </c>
      <c r="W8" s="28"/>
      <c r="X8" s="64" t="s">
        <v>61</v>
      </c>
      <c r="Y8" s="28" t="s">
        <v>62</v>
      </c>
      <c r="AA8" s="29" t="s">
        <v>63</v>
      </c>
    </row>
    <row r="9" spans="1:31" ht="18" customHeight="1" thickBot="1" x14ac:dyDescent="0.25">
      <c r="A9" s="30">
        <f t="shared" si="0"/>
        <v>0</v>
      </c>
      <c r="B9" s="273"/>
      <c r="C9" s="39" t="s">
        <v>64</v>
      </c>
      <c r="D9" s="285"/>
      <c r="E9" s="286" t="s">
        <v>279</v>
      </c>
      <c r="F9" s="287">
        <f>F10+B14</f>
        <v>87500</v>
      </c>
      <c r="G9" s="57"/>
      <c r="H9" s="139" t="s">
        <v>65</v>
      </c>
      <c r="I9" s="65"/>
      <c r="J9" s="66">
        <f>IF(I9="Yes",15000,5000)</f>
        <v>5000</v>
      </c>
      <c r="K9" s="50"/>
      <c r="L9" s="11">
        <v>0</v>
      </c>
      <c r="M9" s="11">
        <v>0</v>
      </c>
      <c r="N9" s="10" t="s">
        <v>66</v>
      </c>
      <c r="O9" s="23">
        <v>0</v>
      </c>
      <c r="P9" s="23">
        <v>0</v>
      </c>
      <c r="Q9" s="10"/>
      <c r="R9" s="67"/>
      <c r="S9" s="67"/>
      <c r="T9" s="7"/>
      <c r="U9" s="29"/>
      <c r="W9" s="68"/>
      <c r="X9" s="28" t="s">
        <v>67</v>
      </c>
      <c r="Y9" s="28" t="s">
        <v>68</v>
      </c>
      <c r="AA9" s="29" t="s">
        <v>69</v>
      </c>
    </row>
    <row r="10" spans="1:31" ht="18" customHeight="1" thickBot="1" x14ac:dyDescent="0.25">
      <c r="A10" s="69" t="e">
        <f>SUM(A4:A8)</f>
        <v>#VALUE!</v>
      </c>
      <c r="B10" s="320">
        <f>SUM(B4:B9)</f>
        <v>710000</v>
      </c>
      <c r="C10" s="319" t="s">
        <v>70</v>
      </c>
      <c r="D10" s="31"/>
      <c r="E10" s="71" t="s">
        <v>71</v>
      </c>
      <c r="F10" s="70">
        <f>Total_Purchase_Costs-F21</f>
        <v>87500</v>
      </c>
      <c r="G10" s="72"/>
      <c r="H10" s="261"/>
      <c r="I10" s="73"/>
      <c r="J10" s="74"/>
      <c r="K10" s="75" t="s">
        <v>72</v>
      </c>
      <c r="L10" s="76"/>
      <c r="M10" s="77"/>
      <c r="N10" s="10" t="s">
        <v>73</v>
      </c>
      <c r="O10" s="23">
        <v>0</v>
      </c>
      <c r="P10" s="23">
        <v>0</v>
      </c>
      <c r="Q10" s="43" t="s">
        <v>74</v>
      </c>
      <c r="R10" s="61">
        <f>SUM(R11:R60)</f>
        <v>0</v>
      </c>
      <c r="S10" s="61">
        <f>SUM(S11:S60)</f>
        <v>0</v>
      </c>
      <c r="T10" s="78"/>
      <c r="U10" s="79"/>
      <c r="V10" s="80"/>
      <c r="W10" s="80"/>
      <c r="X10" s="81" t="s">
        <v>75</v>
      </c>
      <c r="Y10" s="80"/>
      <c r="Z10" s="80"/>
      <c r="AA10" s="82"/>
    </row>
    <row r="11" spans="1:31" ht="18" customHeight="1" thickBot="1" x14ac:dyDescent="0.25">
      <c r="A11" s="253"/>
      <c r="B11" s="324" t="s">
        <v>76</v>
      </c>
      <c r="C11" s="324"/>
      <c r="D11" s="324"/>
      <c r="E11" s="324"/>
      <c r="F11" s="324"/>
      <c r="G11" s="325"/>
      <c r="H11" s="180"/>
      <c r="I11" s="83" t="s">
        <v>77</v>
      </c>
      <c r="J11" s="74"/>
      <c r="K11" s="84" t="s">
        <v>78</v>
      </c>
      <c r="L11" s="85">
        <v>0</v>
      </c>
      <c r="M11" s="86">
        <v>0</v>
      </c>
      <c r="N11" s="10" t="s">
        <v>79</v>
      </c>
      <c r="O11" s="23">
        <v>0</v>
      </c>
      <c r="P11" s="23">
        <v>0</v>
      </c>
      <c r="Q11" s="87"/>
      <c r="R11" s="88"/>
      <c r="S11" s="88"/>
      <c r="T11" s="89"/>
      <c r="U11" s="90"/>
      <c r="V11" s="332" t="s">
        <v>80</v>
      </c>
      <c r="W11" s="333"/>
    </row>
    <row r="12" spans="1:31" ht="17.25" customHeight="1" thickBot="1" x14ac:dyDescent="0.25">
      <c r="A12" s="345" t="s">
        <v>81</v>
      </c>
      <c r="B12" s="346"/>
      <c r="C12" s="346"/>
      <c r="D12" s="346"/>
      <c r="E12" s="346"/>
      <c r="F12" s="346"/>
      <c r="G12" s="347"/>
      <c r="H12" s="91"/>
      <c r="I12" s="92"/>
      <c r="J12" s="93">
        <f>IF(J2="Hard Money - Anchor",5000,SUM(J9:J11))</f>
        <v>5000</v>
      </c>
      <c r="K12" s="7" t="s">
        <v>82</v>
      </c>
      <c r="L12" s="11">
        <v>0</v>
      </c>
      <c r="M12" s="11">
        <v>0</v>
      </c>
      <c r="N12" s="10" t="s">
        <v>83</v>
      </c>
      <c r="O12" s="23">
        <v>0</v>
      </c>
      <c r="P12" s="23">
        <v>0</v>
      </c>
      <c r="Q12" s="87"/>
      <c r="R12" s="88"/>
      <c r="S12" s="88"/>
      <c r="T12" s="89"/>
      <c r="U12" s="90"/>
      <c r="V12" s="19" t="str">
        <f t="shared" ref="V12:V19" si="1">X3</f>
        <v>Utilities</v>
      </c>
      <c r="W12" s="94">
        <f t="shared" ref="W12:W19" si="2">SUMIF(Expense_Type,V12,HSU_Expense)+SUMIF(Expense_Type,V12,DP_Expense)+SUMIF(Expense_Type,V12,Fund_Control)</f>
        <v>0</v>
      </c>
    </row>
    <row r="13" spans="1:31" ht="17.25" customHeight="1" x14ac:dyDescent="0.2">
      <c r="A13" s="30">
        <f>B13/$B$45</f>
        <v>0</v>
      </c>
      <c r="B13" s="46">
        <v>0</v>
      </c>
      <c r="C13" s="39" t="s">
        <v>84</v>
      </c>
      <c r="D13" s="322"/>
      <c r="E13" s="39" t="s">
        <v>85</v>
      </c>
      <c r="F13" s="96" t="s">
        <v>86</v>
      </c>
      <c r="G13" s="97" t="s">
        <v>87</v>
      </c>
      <c r="H13" s="75" t="s">
        <v>88</v>
      </c>
      <c r="I13" s="75"/>
      <c r="J13" s="98" t="s">
        <v>18</v>
      </c>
      <c r="K13" s="99" t="s">
        <v>89</v>
      </c>
      <c r="L13" s="100">
        <f>SUM(L14:L15)</f>
        <v>0</v>
      </c>
      <c r="M13" s="100"/>
      <c r="N13" s="10" t="s">
        <v>90</v>
      </c>
      <c r="O13" s="23">
        <v>0</v>
      </c>
      <c r="P13" s="23">
        <v>0</v>
      </c>
      <c r="Q13" s="87"/>
      <c r="R13" s="88"/>
      <c r="S13" s="88"/>
      <c r="T13" s="89"/>
      <c r="U13" s="90"/>
      <c r="V13" s="7" t="str">
        <f t="shared" si="1"/>
        <v>Rehab</v>
      </c>
      <c r="W13" s="101">
        <f>SUMIF(Expense_Type,V13,HSU_Expense)+SUMIF(Expense_Type,V13,DP_Expense)+SUMIF(Expense_Type,V13,Fund_Control)</f>
        <v>0</v>
      </c>
    </row>
    <row r="14" spans="1:31" ht="17.25" customHeight="1" thickBot="1" x14ac:dyDescent="0.25">
      <c r="A14" s="30">
        <f>B14/$B$45</f>
        <v>0</v>
      </c>
      <c r="B14" s="102">
        <f>(F14*Interest_Rate_1st)/12*Estimated_Project_Time</f>
        <v>0</v>
      </c>
      <c r="C14" s="39" t="s">
        <v>91</v>
      </c>
      <c r="D14" s="103"/>
      <c r="E14" s="104" t="s">
        <v>92</v>
      </c>
      <c r="F14" s="300">
        <f>IF(F15&lt;F16,F15,F16)</f>
        <v>697500</v>
      </c>
      <c r="G14" s="105"/>
      <c r="H14" s="338" t="s">
        <v>58</v>
      </c>
      <c r="I14" s="338"/>
      <c r="J14" s="106" t="s">
        <v>32</v>
      </c>
      <c r="K14" s="7" t="s">
        <v>93</v>
      </c>
      <c r="L14" s="11">
        <v>0</v>
      </c>
      <c r="M14" s="23">
        <v>0</v>
      </c>
      <c r="N14" s="10" t="s">
        <v>94</v>
      </c>
      <c r="O14" s="23">
        <v>0</v>
      </c>
      <c r="P14" s="23">
        <v>0</v>
      </c>
      <c r="Q14" s="87"/>
      <c r="R14" s="88"/>
      <c r="S14" s="88"/>
      <c r="T14" s="89"/>
      <c r="U14" s="90"/>
      <c r="V14" s="7" t="str">
        <f t="shared" si="1"/>
        <v>Change Order</v>
      </c>
      <c r="W14" s="101">
        <f t="shared" si="2"/>
        <v>0</v>
      </c>
    </row>
    <row r="15" spans="1:31" ht="17.25" customHeight="1" x14ac:dyDescent="0.2">
      <c r="A15" s="30">
        <f>B15/$B$45</f>
        <v>0</v>
      </c>
      <c r="B15" s="46">
        <f>F14*Points_1st_Loan</f>
        <v>0</v>
      </c>
      <c r="C15" s="39" t="s">
        <v>95</v>
      </c>
      <c r="D15" s="322"/>
      <c r="E15" s="39" t="s">
        <v>96</v>
      </c>
      <c r="F15" s="277">
        <f>Final_Sales_Price*75%</f>
        <v>787500</v>
      </c>
      <c r="G15" s="278" t="s">
        <v>97</v>
      </c>
      <c r="H15" s="107" t="s">
        <v>98</v>
      </c>
      <c r="I15" s="107"/>
      <c r="J15" s="108">
        <v>0</v>
      </c>
      <c r="K15" s="7" t="s">
        <v>99</v>
      </c>
      <c r="L15" s="11">
        <v>0</v>
      </c>
      <c r="M15" s="23">
        <v>0</v>
      </c>
      <c r="N15" s="10" t="s">
        <v>100</v>
      </c>
      <c r="O15" s="23">
        <v>0</v>
      </c>
      <c r="P15" s="23">
        <v>0</v>
      </c>
      <c r="Q15" s="87"/>
      <c r="R15" s="88"/>
      <c r="S15" s="88"/>
      <c r="T15" s="89"/>
      <c r="U15" s="90"/>
      <c r="V15" s="7" t="str">
        <f t="shared" si="1"/>
        <v>HOA</v>
      </c>
      <c r="W15" s="101">
        <f t="shared" si="2"/>
        <v>0</v>
      </c>
    </row>
    <row r="16" spans="1:31" ht="17.25" customHeight="1" x14ac:dyDescent="0.2">
      <c r="A16" s="30">
        <f>B16/$B$45</f>
        <v>0</v>
      </c>
      <c r="B16" s="109"/>
      <c r="C16" s="39" t="s">
        <v>101</v>
      </c>
      <c r="D16" s="323"/>
      <c r="E16" s="39" t="s">
        <v>102</v>
      </c>
      <c r="F16" s="277">
        <f>(B4+Repair_Costs)*90%</f>
        <v>697500</v>
      </c>
      <c r="G16" s="278" t="s">
        <v>103</v>
      </c>
      <c r="H16" s="107" t="s">
        <v>104</v>
      </c>
      <c r="I16" s="111"/>
      <c r="J16" s="108">
        <v>0</v>
      </c>
      <c r="K16" s="99" t="s">
        <v>105</v>
      </c>
      <c r="L16" s="100">
        <f>SUM(L17:L28)</f>
        <v>0</v>
      </c>
      <c r="M16" s="100"/>
      <c r="N16" s="112" t="s">
        <v>106</v>
      </c>
      <c r="O16" s="45">
        <f>SUM(O17:O18)</f>
        <v>0</v>
      </c>
      <c r="P16" s="45">
        <f>SUM(P17:P18)</f>
        <v>0</v>
      </c>
      <c r="Q16" s="87"/>
      <c r="R16" s="88"/>
      <c r="S16" s="88"/>
      <c r="T16" s="89"/>
      <c r="U16" s="90"/>
      <c r="V16" s="7" t="str">
        <f t="shared" si="1"/>
        <v>1st Loan Payments</v>
      </c>
      <c r="W16" s="101">
        <f t="shared" si="2"/>
        <v>0</v>
      </c>
      <c r="AE16" s="307"/>
    </row>
    <row r="17" spans="1:26" ht="18" customHeight="1" x14ac:dyDescent="0.2">
      <c r="A17" s="30">
        <v>3.3E-3</v>
      </c>
      <c r="B17" s="113"/>
      <c r="C17" s="39" t="s">
        <v>107</v>
      </c>
      <c r="D17" s="110"/>
      <c r="E17" s="39" t="s">
        <v>104</v>
      </c>
      <c r="F17" s="277">
        <f>(F14*Interest_Rate_1st)/12</f>
        <v>0</v>
      </c>
      <c r="G17" s="278" t="s">
        <v>108</v>
      </c>
      <c r="H17" s="107" t="s">
        <v>109</v>
      </c>
      <c r="I17" s="111"/>
      <c r="J17" s="108">
        <v>0</v>
      </c>
      <c r="K17" s="114" t="s">
        <v>110</v>
      </c>
      <c r="L17" s="11">
        <v>0</v>
      </c>
      <c r="M17" s="23">
        <v>0</v>
      </c>
      <c r="N17" s="10" t="s">
        <v>43</v>
      </c>
      <c r="O17" s="23">
        <v>0</v>
      </c>
      <c r="P17" s="23">
        <v>0</v>
      </c>
      <c r="Q17" s="87"/>
      <c r="R17" s="88"/>
      <c r="S17" s="88"/>
      <c r="T17" s="89"/>
      <c r="U17" s="90"/>
      <c r="V17" s="115" t="str">
        <f t="shared" si="1"/>
        <v>2nd Loan Payments</v>
      </c>
      <c r="W17" s="101">
        <f t="shared" si="2"/>
        <v>0</v>
      </c>
    </row>
    <row r="18" spans="1:26" ht="18" customHeight="1" x14ac:dyDescent="0.2">
      <c r="A18" s="30">
        <f>B18/$B$45</f>
        <v>0</v>
      </c>
      <c r="B18" s="113">
        <v>0</v>
      </c>
      <c r="C18" s="39" t="s">
        <v>111</v>
      </c>
      <c r="D18" s="116"/>
      <c r="E18" s="39"/>
      <c r="F18" s="279">
        <f>F5-F4</f>
        <v>0</v>
      </c>
      <c r="G18" s="278" t="s">
        <v>112</v>
      </c>
      <c r="H18" s="107" t="s">
        <v>113</v>
      </c>
      <c r="I18" s="111"/>
      <c r="J18" s="108">
        <v>0</v>
      </c>
      <c r="K18" s="7" t="s">
        <v>114</v>
      </c>
      <c r="L18" s="11">
        <v>0</v>
      </c>
      <c r="M18" s="23">
        <v>0</v>
      </c>
      <c r="N18" s="10" t="s">
        <v>50</v>
      </c>
      <c r="O18" s="23">
        <v>0</v>
      </c>
      <c r="P18" s="23">
        <v>0</v>
      </c>
      <c r="Q18" s="87"/>
      <c r="R18" s="88"/>
      <c r="S18" s="88"/>
      <c r="T18" s="89"/>
      <c r="U18" s="90"/>
      <c r="V18" s="7" t="str">
        <f t="shared" si="1"/>
        <v>Lender Fees</v>
      </c>
      <c r="W18" s="101">
        <f t="shared" si="2"/>
        <v>0</v>
      </c>
    </row>
    <row r="19" spans="1:26" ht="18" customHeight="1" thickBot="1" x14ac:dyDescent="0.25">
      <c r="A19" s="30">
        <f>B19/$B$45</f>
        <v>0</v>
      </c>
      <c r="B19" s="113">
        <v>0</v>
      </c>
      <c r="C19" s="39" t="s">
        <v>115</v>
      </c>
      <c r="D19" s="116"/>
      <c r="E19" s="39"/>
      <c r="F19" s="275">
        <v>31</v>
      </c>
      <c r="G19" s="276" t="s">
        <v>116</v>
      </c>
      <c r="H19" s="107" t="s">
        <v>117</v>
      </c>
      <c r="I19" s="111"/>
      <c r="J19" s="108">
        <v>0</v>
      </c>
      <c r="K19" s="7" t="s">
        <v>118</v>
      </c>
      <c r="L19" s="11">
        <v>0</v>
      </c>
      <c r="M19" s="23">
        <v>0</v>
      </c>
      <c r="N19" s="59" t="s">
        <v>119</v>
      </c>
      <c r="O19" s="60">
        <f>SUM(O21:O23)</f>
        <v>0</v>
      </c>
      <c r="P19" s="60">
        <f>SUM(P21:P23)</f>
        <v>0</v>
      </c>
      <c r="Q19" s="87"/>
      <c r="R19" s="88"/>
      <c r="S19" s="88"/>
      <c r="T19" s="89"/>
      <c r="U19" s="90"/>
      <c r="V19" s="80" t="str">
        <f t="shared" si="1"/>
        <v>Misc.</v>
      </c>
      <c r="W19" s="117">
        <f t="shared" si="2"/>
        <v>0</v>
      </c>
      <c r="Z19" s="28"/>
    </row>
    <row r="20" spans="1:26" ht="18" customHeight="1" thickBot="1" x14ac:dyDescent="0.25">
      <c r="A20" s="30"/>
      <c r="B20" s="113"/>
      <c r="C20" s="39"/>
      <c r="D20" s="116"/>
      <c r="E20" s="39"/>
      <c r="F20" s="280">
        <f>(F17/F19)*F18</f>
        <v>0</v>
      </c>
      <c r="G20" s="278" t="s">
        <v>120</v>
      </c>
      <c r="H20" s="107"/>
      <c r="I20" s="111"/>
      <c r="J20" s="108"/>
      <c r="L20" s="11"/>
      <c r="M20" s="23"/>
      <c r="N20" s="59"/>
      <c r="O20" s="60"/>
      <c r="P20" s="60"/>
      <c r="Q20" s="87"/>
      <c r="R20" s="88"/>
      <c r="S20" s="88"/>
      <c r="T20" s="89"/>
      <c r="U20" s="90"/>
      <c r="V20" s="80"/>
      <c r="W20" s="119"/>
      <c r="Z20" s="28"/>
    </row>
    <row r="21" spans="1:26" ht="18" customHeight="1" thickBot="1" x14ac:dyDescent="0.25">
      <c r="A21" s="30"/>
      <c r="B21" s="113"/>
      <c r="C21" s="39"/>
      <c r="D21" s="116"/>
      <c r="E21" s="39"/>
      <c r="F21" s="281">
        <f>F14-Repair_Costs-Loan_Origination_Fee_1st-Loan_Fees___Appraisal_Fee_1st-F20-B17</f>
        <v>622500</v>
      </c>
      <c r="G21" s="282" t="s">
        <v>269</v>
      </c>
      <c r="H21" s="260" t="s">
        <v>88</v>
      </c>
      <c r="I21" s="120"/>
      <c r="J21" s="121">
        <f>SUM(J15:J19)</f>
        <v>0</v>
      </c>
      <c r="K21" s="7" t="s">
        <v>121</v>
      </c>
      <c r="L21" s="11">
        <v>0</v>
      </c>
      <c r="M21" s="23">
        <v>0</v>
      </c>
      <c r="N21" s="10" t="s">
        <v>122</v>
      </c>
      <c r="O21" s="11">
        <v>0</v>
      </c>
      <c r="P21" s="11">
        <v>0</v>
      </c>
      <c r="Q21" s="87"/>
      <c r="R21" s="88"/>
      <c r="S21" s="88"/>
      <c r="T21" s="89"/>
      <c r="U21" s="90"/>
      <c r="V21" s="339" t="s">
        <v>123</v>
      </c>
      <c r="W21" s="339"/>
      <c r="X21" s="330"/>
      <c r="Y21" s="122"/>
      <c r="Z21" s="28"/>
    </row>
    <row r="22" spans="1:26" ht="18" customHeight="1" thickBot="1" x14ac:dyDescent="0.25">
      <c r="A22" s="340" t="s">
        <v>124</v>
      </c>
      <c r="B22" s="341"/>
      <c r="C22" s="341"/>
      <c r="D22" s="341"/>
      <c r="E22" s="341"/>
      <c r="F22" s="341"/>
      <c r="G22" s="342"/>
      <c r="H22" s="262"/>
      <c r="I22" s="123"/>
      <c r="J22" s="124"/>
      <c r="L22" s="11"/>
      <c r="M22" s="23"/>
      <c r="N22" s="10"/>
      <c r="O22" s="11"/>
      <c r="P22" s="11"/>
      <c r="Q22" s="87"/>
      <c r="R22" s="88"/>
      <c r="S22" s="88"/>
      <c r="T22" s="89"/>
      <c r="U22" s="90"/>
      <c r="V22" s="125"/>
      <c r="W22" s="125"/>
      <c r="X22" s="126"/>
      <c r="Y22" s="122"/>
      <c r="Z22" s="28"/>
    </row>
    <row r="23" spans="1:26" ht="18" customHeight="1" thickBot="1" x14ac:dyDescent="0.3">
      <c r="A23" s="30">
        <f t="shared" ref="A23:A30" si="3">B23/$B$45</f>
        <v>0</v>
      </c>
      <c r="B23" s="46">
        <v>0</v>
      </c>
      <c r="C23" s="39" t="s">
        <v>125</v>
      </c>
      <c r="D23" s="95">
        <v>0.2</v>
      </c>
      <c r="E23" s="39" t="s">
        <v>85</v>
      </c>
      <c r="F23" s="127"/>
      <c r="G23" s="97"/>
      <c r="H23" s="75" t="s">
        <v>126</v>
      </c>
      <c r="I23" s="75"/>
      <c r="J23" s="128" t="s">
        <v>18</v>
      </c>
      <c r="K23" s="10" t="s">
        <v>127</v>
      </c>
      <c r="L23" s="11">
        <v>0</v>
      </c>
      <c r="M23" s="23">
        <v>0</v>
      </c>
      <c r="N23" s="10" t="s">
        <v>90</v>
      </c>
      <c r="O23" s="23">
        <v>0</v>
      </c>
      <c r="P23" s="23">
        <v>0</v>
      </c>
      <c r="Q23" s="87"/>
      <c r="R23" s="88"/>
      <c r="S23" s="88"/>
      <c r="T23" s="89"/>
      <c r="U23" s="90"/>
      <c r="V23" s="129" t="s">
        <v>128</v>
      </c>
      <c r="W23" s="343"/>
      <c r="X23" s="344"/>
      <c r="Y23" s="130"/>
      <c r="Z23" s="28"/>
    </row>
    <row r="24" spans="1:26" ht="18" customHeight="1" x14ac:dyDescent="0.2">
      <c r="A24" s="30">
        <f t="shared" si="3"/>
        <v>0</v>
      </c>
      <c r="B24" s="102">
        <f>F25*D23/12*Estimated_Project_Time</f>
        <v>0</v>
      </c>
      <c r="C24" s="39" t="s">
        <v>129</v>
      </c>
      <c r="D24" s="103">
        <v>120</v>
      </c>
      <c r="E24" s="104" t="s">
        <v>92</v>
      </c>
      <c r="F24" s="131" t="s">
        <v>130</v>
      </c>
      <c r="G24" s="105"/>
      <c r="H24" s="263" t="s">
        <v>131</v>
      </c>
      <c r="I24" s="132"/>
      <c r="J24" s="133" t="s">
        <v>132</v>
      </c>
      <c r="K24" s="10" t="s">
        <v>133</v>
      </c>
      <c r="L24" s="11">
        <v>0</v>
      </c>
      <c r="M24" s="23">
        <v>0</v>
      </c>
      <c r="N24" s="21" t="s">
        <v>134</v>
      </c>
      <c r="O24" s="45">
        <f>SUM(O25:O26)</f>
        <v>0</v>
      </c>
      <c r="P24" s="45">
        <f>SUM(P25:P26)</f>
        <v>0</v>
      </c>
      <c r="Q24" s="87"/>
      <c r="R24" s="88"/>
      <c r="S24" s="88"/>
      <c r="T24" s="89"/>
      <c r="U24" s="90"/>
      <c r="V24" s="134">
        <v>6</v>
      </c>
      <c r="W24" s="28" t="s">
        <v>135</v>
      </c>
      <c r="X24" s="135">
        <v>1</v>
      </c>
      <c r="Y24" s="28"/>
      <c r="Z24" s="28"/>
    </row>
    <row r="25" spans="1:26" ht="18" customHeight="1" x14ac:dyDescent="0.2">
      <c r="A25" s="30">
        <f t="shared" si="3"/>
        <v>0</v>
      </c>
      <c r="B25" s="46">
        <f>IF(OR(H2="Estimated Prelim",H2="Acquistion Approved"),D25*J32,L15)</f>
        <v>0</v>
      </c>
      <c r="C25" s="39" t="s">
        <v>99</v>
      </c>
      <c r="D25" s="95">
        <f>IF(Financing_Type="Hard Money - Anchor",0%,"")</f>
        <v>0</v>
      </c>
      <c r="E25" s="39" t="s">
        <v>96</v>
      </c>
      <c r="F25" s="113"/>
      <c r="G25" s="97"/>
      <c r="H25" s="212">
        <f>B45</f>
        <v>1050000</v>
      </c>
      <c r="I25" s="136">
        <f>IF(J2="Hard Money - Anchor",65%,60%)</f>
        <v>0.65</v>
      </c>
      <c r="J25" s="137">
        <f>I25*H25</f>
        <v>682500</v>
      </c>
      <c r="K25" s="10" t="s">
        <v>136</v>
      </c>
      <c r="L25" s="11">
        <v>0</v>
      </c>
      <c r="M25" s="23">
        <v>0</v>
      </c>
      <c r="N25" s="10" t="s">
        <v>137</v>
      </c>
      <c r="O25" s="11">
        <v>0</v>
      </c>
      <c r="P25" s="23">
        <v>0</v>
      </c>
      <c r="Q25" s="87"/>
      <c r="R25" s="88"/>
      <c r="S25" s="88"/>
      <c r="T25" s="89"/>
      <c r="U25" s="90"/>
      <c r="V25" s="134">
        <v>7</v>
      </c>
      <c r="W25" s="28" t="s">
        <v>138</v>
      </c>
      <c r="X25" s="135">
        <v>0.91669999999999996</v>
      </c>
      <c r="Y25" s="28"/>
      <c r="Z25" s="28"/>
    </row>
    <row r="26" spans="1:26" ht="18" customHeight="1" x14ac:dyDescent="0.2">
      <c r="A26" s="30">
        <f t="shared" si="3"/>
        <v>0</v>
      </c>
      <c r="B26" s="113">
        <f>IF(OR(H2="Estimated Prelim",H2="Acquistion Approved"),D26,L29+O19)</f>
        <v>0</v>
      </c>
      <c r="C26" s="39" t="s">
        <v>119</v>
      </c>
      <c r="D26" s="110">
        <f>IF(Financing_Type="Hard Money - Anchor",0,"")</f>
        <v>0</v>
      </c>
      <c r="E26" s="39" t="s">
        <v>102</v>
      </c>
      <c r="F26" s="138"/>
      <c r="G26" s="97"/>
      <c r="H26" s="264" t="str">
        <f>+H4</f>
        <v xml:space="preserve">Opening Bid Amount </v>
      </c>
      <c r="I26" s="139"/>
      <c r="J26" s="140" t="s">
        <v>139</v>
      </c>
      <c r="K26" s="10" t="s">
        <v>140</v>
      </c>
      <c r="L26" s="11">
        <v>0</v>
      </c>
      <c r="M26" s="23">
        <v>0</v>
      </c>
      <c r="N26" s="10" t="s">
        <v>141</v>
      </c>
      <c r="O26" s="11">
        <v>0</v>
      </c>
      <c r="P26" s="23">
        <v>0</v>
      </c>
      <c r="Q26" s="87"/>
      <c r="R26" s="88"/>
      <c r="S26" s="88"/>
      <c r="T26" s="89"/>
      <c r="U26" s="90"/>
      <c r="V26" s="134">
        <v>8</v>
      </c>
      <c r="W26" s="28" t="s">
        <v>142</v>
      </c>
      <c r="X26" s="135">
        <v>0.83330000000000004</v>
      </c>
      <c r="Y26" s="28"/>
      <c r="Z26" s="28"/>
    </row>
    <row r="27" spans="1:26" ht="18" customHeight="1" x14ac:dyDescent="0.2">
      <c r="A27" s="30">
        <f t="shared" si="3"/>
        <v>0</v>
      </c>
      <c r="B27" s="113">
        <f>IF(OR(H10="Estimated Prelim",H10="Acquistion Approved",H10="Final HUD -1 Purchase "),0,W17)</f>
        <v>0</v>
      </c>
      <c r="C27" s="39" t="s">
        <v>143</v>
      </c>
      <c r="D27" s="116"/>
      <c r="E27" s="39"/>
      <c r="F27" s="138"/>
      <c r="G27" s="97"/>
      <c r="H27" s="212">
        <f>+J4</f>
        <v>65000</v>
      </c>
      <c r="I27" s="136">
        <v>0.8</v>
      </c>
      <c r="J27" s="70">
        <f>+H27*I27</f>
        <v>52000</v>
      </c>
      <c r="K27" s="10" t="s">
        <v>104</v>
      </c>
      <c r="L27" s="11">
        <v>0</v>
      </c>
      <c r="M27" s="23">
        <v>0</v>
      </c>
      <c r="N27" s="21" t="s">
        <v>144</v>
      </c>
      <c r="O27" s="45">
        <f>SUM(O28:O30)</f>
        <v>0</v>
      </c>
      <c r="P27" s="45">
        <f>SUM(P28:P30)</f>
        <v>0</v>
      </c>
      <c r="Q27" s="87"/>
      <c r="R27" s="88"/>
      <c r="S27" s="88"/>
      <c r="T27" s="89"/>
      <c r="U27" s="90"/>
      <c r="V27" s="134">
        <v>9</v>
      </c>
      <c r="W27" s="28" t="s">
        <v>145</v>
      </c>
      <c r="X27" s="135">
        <v>0.75</v>
      </c>
      <c r="Y27" s="28"/>
      <c r="Z27" s="28"/>
    </row>
    <row r="28" spans="1:26" ht="18" customHeight="1" x14ac:dyDescent="0.2">
      <c r="A28" s="30">
        <f t="shared" si="3"/>
        <v>0</v>
      </c>
      <c r="B28" s="113">
        <f>P23*-1</f>
        <v>0</v>
      </c>
      <c r="C28" s="39" t="s">
        <v>146</v>
      </c>
      <c r="D28" s="116"/>
      <c r="E28" s="39"/>
      <c r="F28" s="138"/>
      <c r="G28" s="97"/>
      <c r="H28" s="39" t="s">
        <v>147</v>
      </c>
      <c r="I28" s="142">
        <v>0</v>
      </c>
      <c r="J28" s="102">
        <f>(J31*D13/12)*I28</f>
        <v>0</v>
      </c>
      <c r="K28" s="10" t="s">
        <v>148</v>
      </c>
      <c r="L28" s="11">
        <v>0</v>
      </c>
      <c r="M28" s="23">
        <v>0</v>
      </c>
      <c r="N28" s="10" t="s">
        <v>149</v>
      </c>
      <c r="O28" s="11">
        <v>0</v>
      </c>
      <c r="P28" s="23">
        <v>0</v>
      </c>
      <c r="Q28" s="87"/>
      <c r="R28" s="88"/>
      <c r="S28" s="88"/>
      <c r="T28" s="89"/>
      <c r="U28" s="90"/>
      <c r="V28" s="134">
        <v>10</v>
      </c>
      <c r="W28" s="28" t="s">
        <v>150</v>
      </c>
      <c r="X28" s="135">
        <v>0.66700000000000004</v>
      </c>
      <c r="Y28" s="28"/>
      <c r="Z28" s="143"/>
    </row>
    <row r="29" spans="1:26" ht="18" customHeight="1" x14ac:dyDescent="0.2">
      <c r="A29" s="30">
        <f t="shared" si="3"/>
        <v>0</v>
      </c>
      <c r="B29" s="113">
        <v>0</v>
      </c>
      <c r="C29" s="39" t="s">
        <v>151</v>
      </c>
      <c r="D29" s="116"/>
      <c r="E29" s="39"/>
      <c r="F29" s="138"/>
      <c r="G29" s="97"/>
      <c r="H29" s="39" t="s">
        <v>152</v>
      </c>
      <c r="I29" s="142">
        <v>0</v>
      </c>
      <c r="J29" s="102">
        <f>(J32*D23/12)*I29</f>
        <v>0</v>
      </c>
      <c r="K29" s="43" t="s">
        <v>119</v>
      </c>
      <c r="L29" s="100">
        <f>SUM(L30:L33)</f>
        <v>0</v>
      </c>
      <c r="M29" s="100"/>
      <c r="N29" s="10" t="s">
        <v>153</v>
      </c>
      <c r="O29" s="11">
        <v>0</v>
      </c>
      <c r="P29" s="23">
        <v>0</v>
      </c>
      <c r="Q29" s="87"/>
      <c r="R29" s="88"/>
      <c r="S29" s="88"/>
      <c r="T29" s="89"/>
      <c r="U29" s="90"/>
      <c r="V29" s="134">
        <v>11</v>
      </c>
      <c r="W29" s="28" t="s">
        <v>154</v>
      </c>
      <c r="X29" s="135">
        <v>0.58299999999999996</v>
      </c>
      <c r="Y29" s="28"/>
      <c r="Z29" s="143"/>
    </row>
    <row r="30" spans="1:26" ht="18" customHeight="1" x14ac:dyDescent="0.2">
      <c r="A30" s="144">
        <f t="shared" si="3"/>
        <v>0</v>
      </c>
      <c r="B30" s="145">
        <f>SUM(B13:B29)</f>
        <v>0</v>
      </c>
      <c r="C30" s="31" t="s">
        <v>155</v>
      </c>
      <c r="D30" s="31"/>
      <c r="E30" s="31"/>
      <c r="F30" s="146"/>
      <c r="G30" s="147"/>
      <c r="H30" s="39" t="s">
        <v>156</v>
      </c>
      <c r="I30" s="39"/>
      <c r="J30" s="148">
        <v>0</v>
      </c>
      <c r="K30" s="149" t="s">
        <v>110</v>
      </c>
      <c r="L30" s="11">
        <v>0</v>
      </c>
      <c r="M30" s="23">
        <v>0</v>
      </c>
      <c r="N30" s="10" t="s">
        <v>157</v>
      </c>
      <c r="O30" s="11">
        <v>0</v>
      </c>
      <c r="P30" s="23">
        <v>0</v>
      </c>
      <c r="Q30" s="87"/>
      <c r="R30" s="88"/>
      <c r="S30" s="88"/>
      <c r="T30" s="89"/>
      <c r="U30" s="90"/>
      <c r="V30" s="134">
        <v>12</v>
      </c>
      <c r="W30" s="28" t="s">
        <v>158</v>
      </c>
      <c r="X30" s="135">
        <v>0.5</v>
      </c>
      <c r="Y30" s="28"/>
      <c r="Z30" s="143"/>
    </row>
    <row r="31" spans="1:26" ht="18" customHeight="1" x14ac:dyDescent="0.2">
      <c r="A31" s="253"/>
      <c r="B31" s="324" t="s">
        <v>159</v>
      </c>
      <c r="C31" s="324"/>
      <c r="D31" s="324"/>
      <c r="E31" s="324"/>
      <c r="F31" s="324"/>
      <c r="G31" s="325"/>
      <c r="H31" s="265" t="s">
        <v>160</v>
      </c>
      <c r="I31" s="150"/>
      <c r="J31" s="151">
        <f>Total_Purchase_Costs</f>
        <v>710000</v>
      </c>
      <c r="K31" s="10" t="s">
        <v>114</v>
      </c>
      <c r="L31" s="11">
        <v>0</v>
      </c>
      <c r="M31" s="23">
        <v>0</v>
      </c>
      <c r="N31" s="21" t="s">
        <v>161</v>
      </c>
      <c r="O31" s="45">
        <f>SUM(O32:O37)</f>
        <v>0</v>
      </c>
      <c r="P31" s="45">
        <f>SUM(P32:P37)</f>
        <v>0</v>
      </c>
      <c r="Q31" s="87"/>
      <c r="R31" s="88"/>
      <c r="S31" s="88"/>
      <c r="T31" s="89"/>
      <c r="U31" s="90"/>
      <c r="V31" s="134">
        <v>1</v>
      </c>
      <c r="W31" s="28" t="s">
        <v>162</v>
      </c>
      <c r="X31" s="152">
        <v>0.41699999999999998</v>
      </c>
      <c r="Y31" s="28"/>
      <c r="Z31" s="143"/>
    </row>
    <row r="32" spans="1:26" ht="18" customHeight="1" thickBot="1" x14ac:dyDescent="0.25">
      <c r="A32" s="30">
        <f>B32/$B$45</f>
        <v>7.1428571428571425E-2</v>
      </c>
      <c r="B32" s="316">
        <v>75000</v>
      </c>
      <c r="C32" s="317" t="s">
        <v>30</v>
      </c>
      <c r="D32" s="40"/>
      <c r="E32" s="137"/>
      <c r="F32" s="138"/>
      <c r="G32" s="97"/>
      <c r="H32" s="153" t="s">
        <v>163</v>
      </c>
      <c r="I32" s="153"/>
      <c r="J32" s="154">
        <v>0</v>
      </c>
      <c r="K32" s="10" t="s">
        <v>118</v>
      </c>
      <c r="L32" s="11">
        <v>0</v>
      </c>
      <c r="M32" s="23">
        <v>0</v>
      </c>
      <c r="N32" s="10" t="s">
        <v>164</v>
      </c>
      <c r="O32" s="11">
        <v>0</v>
      </c>
      <c r="P32" s="23">
        <v>0</v>
      </c>
      <c r="Q32" s="87"/>
      <c r="R32" s="88"/>
      <c r="S32" s="88"/>
      <c r="T32" s="89"/>
      <c r="U32" s="90"/>
      <c r="V32" s="134">
        <v>2</v>
      </c>
      <c r="W32" s="28" t="s">
        <v>165</v>
      </c>
      <c r="X32" s="152">
        <v>0.33329999999999999</v>
      </c>
      <c r="Y32" s="28"/>
      <c r="Z32" s="143"/>
    </row>
    <row r="33" spans="1:25" ht="18" customHeight="1" thickBot="1" x14ac:dyDescent="0.25">
      <c r="A33" s="30">
        <f>B33/$B$45</f>
        <v>0</v>
      </c>
      <c r="B33" s="155">
        <v>0</v>
      </c>
      <c r="C33" s="155">
        <v>0</v>
      </c>
      <c r="D33" s="40"/>
      <c r="E33" s="39"/>
      <c r="F33" s="138"/>
      <c r="G33" s="97"/>
      <c r="H33" s="75" t="s">
        <v>166</v>
      </c>
      <c r="I33" s="75"/>
      <c r="J33" s="128" t="s">
        <v>18</v>
      </c>
      <c r="K33" s="10" t="s">
        <v>121</v>
      </c>
      <c r="L33" s="11">
        <v>0</v>
      </c>
      <c r="M33" s="23">
        <v>0</v>
      </c>
      <c r="N33" s="10" t="s">
        <v>167</v>
      </c>
      <c r="O33" s="11">
        <v>0</v>
      </c>
      <c r="P33" s="23">
        <v>0</v>
      </c>
      <c r="Q33" s="87"/>
      <c r="R33" s="88"/>
      <c r="S33" s="88"/>
      <c r="T33" s="89"/>
      <c r="U33" s="90"/>
      <c r="V33" s="134">
        <v>3</v>
      </c>
      <c r="W33" s="28" t="s">
        <v>168</v>
      </c>
      <c r="X33" s="152">
        <v>0.25</v>
      </c>
      <c r="Y33" s="28"/>
    </row>
    <row r="34" spans="1:25" ht="18" customHeight="1" thickBot="1" x14ac:dyDescent="0.25">
      <c r="A34" s="144">
        <f>B34/$B$45</f>
        <v>7.1428571428571425E-2</v>
      </c>
      <c r="B34" s="321">
        <f>SUM(B32:B33)</f>
        <v>75000</v>
      </c>
      <c r="C34" s="319" t="s">
        <v>169</v>
      </c>
      <c r="D34" s="156"/>
      <c r="E34" s="31"/>
      <c r="F34" s="157"/>
      <c r="G34" s="158"/>
      <c r="H34" s="266" t="str">
        <f>+H24</f>
        <v>Final Sales Price</v>
      </c>
      <c r="I34" s="159"/>
      <c r="J34" s="160">
        <f>B45</f>
        <v>1050000</v>
      </c>
      <c r="K34" s="43" t="s">
        <v>84</v>
      </c>
      <c r="L34" s="100">
        <f>SUM(L35:L36)</f>
        <v>0</v>
      </c>
      <c r="M34" s="100"/>
      <c r="N34" s="10" t="s">
        <v>127</v>
      </c>
      <c r="O34" s="11">
        <v>0</v>
      </c>
      <c r="P34" s="23">
        <v>0</v>
      </c>
      <c r="Q34" s="87"/>
      <c r="R34" s="88"/>
      <c r="S34" s="88"/>
      <c r="T34" s="89"/>
      <c r="U34" s="90"/>
      <c r="V34" s="134">
        <v>4</v>
      </c>
      <c r="W34" s="28" t="s">
        <v>170</v>
      </c>
      <c r="X34" s="152">
        <v>0.16669999999999999</v>
      </c>
      <c r="Y34" s="28"/>
    </row>
    <row r="35" spans="1:25" ht="18" hidden="1" customHeight="1" thickBot="1" x14ac:dyDescent="0.25">
      <c r="A35" s="253"/>
      <c r="B35" s="324" t="s">
        <v>171</v>
      </c>
      <c r="C35" s="324"/>
      <c r="D35" s="324"/>
      <c r="E35" s="324"/>
      <c r="F35" s="324"/>
      <c r="G35" s="325"/>
      <c r="H35" s="267" t="str">
        <f>+H26</f>
        <v xml:space="preserve">Opening Bid Amount </v>
      </c>
      <c r="I35" s="161"/>
      <c r="J35" s="46">
        <f>H27</f>
        <v>65000</v>
      </c>
      <c r="K35" s="10" t="s">
        <v>172</v>
      </c>
      <c r="L35" s="11">
        <v>0</v>
      </c>
      <c r="M35" s="23">
        <v>0</v>
      </c>
      <c r="N35" s="10" t="s">
        <v>173</v>
      </c>
      <c r="O35" s="11">
        <v>0</v>
      </c>
      <c r="P35" s="162">
        <v>0</v>
      </c>
      <c r="Q35" s="87"/>
      <c r="R35" s="88"/>
      <c r="S35" s="88"/>
      <c r="T35" s="89"/>
      <c r="U35" s="90"/>
      <c r="V35" s="163">
        <v>5</v>
      </c>
      <c r="W35" s="81" t="s">
        <v>174</v>
      </c>
      <c r="X35" s="164">
        <v>8.6599999999999996E-2</v>
      </c>
      <c r="Y35" s="28"/>
    </row>
    <row r="36" spans="1:25" ht="18" hidden="1" customHeight="1" thickBot="1" x14ac:dyDescent="0.25">
      <c r="A36" s="30">
        <f t="shared" ref="A36:A43" si="4">B36/$B$45</f>
        <v>0</v>
      </c>
      <c r="B36" s="165">
        <v>0</v>
      </c>
      <c r="C36" s="39" t="s">
        <v>175</v>
      </c>
      <c r="D36" s="166"/>
      <c r="E36" s="327"/>
      <c r="F36" s="327"/>
      <c r="G36" s="328"/>
      <c r="H36" s="267" t="s">
        <v>176</v>
      </c>
      <c r="I36" s="161"/>
      <c r="J36" s="167"/>
      <c r="K36" s="10" t="s">
        <v>177</v>
      </c>
      <c r="L36" s="11">
        <v>0</v>
      </c>
      <c r="M36" s="23">
        <v>0</v>
      </c>
      <c r="N36" s="10" t="s">
        <v>178</v>
      </c>
      <c r="O36" s="11">
        <v>0</v>
      </c>
      <c r="P36" s="23">
        <v>0</v>
      </c>
      <c r="Q36" s="87"/>
      <c r="R36" s="88"/>
      <c r="S36" s="88"/>
      <c r="T36" s="89"/>
      <c r="U36" s="90"/>
      <c r="V36" s="7" t="s">
        <v>179</v>
      </c>
      <c r="W36" s="168">
        <f>VLOOKUP(MONTH(P1),V24:X35,3,FALSE)*W37</f>
        <v>0</v>
      </c>
    </row>
    <row r="37" spans="1:25" ht="18" hidden="1" customHeight="1" thickBot="1" x14ac:dyDescent="0.25">
      <c r="A37" s="30">
        <f t="shared" si="4"/>
        <v>0</v>
      </c>
      <c r="B37" s="165"/>
      <c r="C37" s="39" t="s">
        <v>180</v>
      </c>
      <c r="D37" s="39"/>
      <c r="E37" s="39"/>
      <c r="F37" s="39"/>
      <c r="G37" s="252"/>
      <c r="H37" s="268" t="s">
        <v>181</v>
      </c>
      <c r="I37" s="161"/>
      <c r="J37" s="46">
        <f>J34-J35</f>
        <v>985000</v>
      </c>
      <c r="K37" s="43" t="s">
        <v>125</v>
      </c>
      <c r="L37" s="100">
        <f>SUM(L38:L39)</f>
        <v>0</v>
      </c>
      <c r="M37" s="100"/>
      <c r="N37" s="10" t="s">
        <v>182</v>
      </c>
      <c r="O37" s="11">
        <v>0</v>
      </c>
      <c r="P37" s="23">
        <v>0</v>
      </c>
      <c r="Q37" s="87"/>
      <c r="R37" s="88"/>
      <c r="S37" s="88"/>
      <c r="T37" s="89"/>
      <c r="U37" s="90"/>
      <c r="V37" s="7" t="s">
        <v>183</v>
      </c>
      <c r="W37" s="67">
        <f>(J34-J36)*W23</f>
        <v>0</v>
      </c>
      <c r="Y37" s="169" t="s">
        <v>184</v>
      </c>
    </row>
    <row r="38" spans="1:25" ht="18" hidden="1" customHeight="1" thickBot="1" x14ac:dyDescent="0.25">
      <c r="A38" s="30">
        <f t="shared" si="4"/>
        <v>0</v>
      </c>
      <c r="B38" s="102">
        <f>IF(MONTH(P1)=OR(1,2,3,4,5),W36+W37,W36)</f>
        <v>0</v>
      </c>
      <c r="C38" s="39" t="s">
        <v>166</v>
      </c>
      <c r="D38" s="39"/>
      <c r="E38" s="39"/>
      <c r="F38" s="39"/>
      <c r="G38" s="57"/>
      <c r="H38" s="75" t="s">
        <v>185</v>
      </c>
      <c r="I38" s="75"/>
      <c r="J38" s="98"/>
      <c r="K38" s="10" t="s">
        <v>172</v>
      </c>
      <c r="L38" s="11">
        <v>0</v>
      </c>
      <c r="M38" s="23">
        <v>0</v>
      </c>
      <c r="N38" s="21" t="s">
        <v>186</v>
      </c>
      <c r="O38" s="45">
        <f>SUM(O39:O42)</f>
        <v>0</v>
      </c>
      <c r="P38" s="45">
        <f>SUM(P39:P42)</f>
        <v>0</v>
      </c>
      <c r="Q38" s="87"/>
      <c r="R38" s="88"/>
      <c r="S38" s="88"/>
      <c r="T38" s="89"/>
      <c r="U38" s="90"/>
      <c r="Y38" s="170">
        <f ca="1">Y41-O7-L35-L36-W16+P13</f>
        <v>0</v>
      </c>
    </row>
    <row r="39" spans="1:25" ht="18" hidden="1" customHeight="1" thickBot="1" x14ac:dyDescent="0.25">
      <c r="A39" s="30">
        <f t="shared" si="4"/>
        <v>0</v>
      </c>
      <c r="B39" s="171"/>
      <c r="C39" s="39" t="s">
        <v>22</v>
      </c>
      <c r="D39" s="172" t="s">
        <v>187</v>
      </c>
      <c r="E39" s="173"/>
      <c r="F39" s="39"/>
      <c r="G39" s="252"/>
      <c r="H39" s="269" t="s">
        <v>20</v>
      </c>
      <c r="I39" s="174"/>
      <c r="J39" s="175">
        <f>B4</f>
        <v>700000</v>
      </c>
      <c r="K39" s="10" t="s">
        <v>177</v>
      </c>
      <c r="L39" s="11">
        <v>0</v>
      </c>
      <c r="M39" s="23">
        <v>0</v>
      </c>
      <c r="N39" s="10" t="s">
        <v>188</v>
      </c>
      <c r="O39" s="11">
        <v>0</v>
      </c>
      <c r="P39" s="23">
        <v>0</v>
      </c>
      <c r="Q39" s="87"/>
      <c r="R39" s="88"/>
      <c r="S39" s="88"/>
      <c r="T39" s="89"/>
      <c r="U39" s="90"/>
      <c r="V39" s="329" t="s">
        <v>189</v>
      </c>
      <c r="W39" s="329"/>
      <c r="X39" s="329"/>
      <c r="Y39" s="330"/>
    </row>
    <row r="40" spans="1:25" ht="18" hidden="1" customHeight="1" x14ac:dyDescent="0.2">
      <c r="A40" s="30">
        <f t="shared" si="4"/>
        <v>0</v>
      </c>
      <c r="B40" s="46">
        <f>IF(OR(H2="Estimated Prelim",H2="Acquistion Approved"),D40*E2,L52-M52+O46+W15-HS_HOA_Fees_Credit)</f>
        <v>0</v>
      </c>
      <c r="C40" s="39" t="s">
        <v>46</v>
      </c>
      <c r="D40" s="176">
        <v>0</v>
      </c>
      <c r="E40" s="39"/>
      <c r="F40" s="39"/>
      <c r="G40" s="97"/>
      <c r="H40" s="137" t="s">
        <v>132</v>
      </c>
      <c r="I40" s="111"/>
      <c r="J40" s="74">
        <f>J31*-1</f>
        <v>-710000</v>
      </c>
      <c r="K40" s="99" t="s">
        <v>190</v>
      </c>
      <c r="L40" s="100">
        <f>SUM(L41:L41)</f>
        <v>0</v>
      </c>
      <c r="M40" s="100"/>
      <c r="N40" s="177" t="s">
        <v>191</v>
      </c>
      <c r="O40" s="162">
        <v>0</v>
      </c>
      <c r="P40" s="23">
        <v>0</v>
      </c>
      <c r="Q40" s="87"/>
      <c r="R40" s="88"/>
      <c r="S40" s="88"/>
      <c r="T40" s="89"/>
      <c r="U40" s="90"/>
      <c r="V40" s="178" t="s">
        <v>192</v>
      </c>
      <c r="W40" s="178" t="s">
        <v>193</v>
      </c>
      <c r="X40" s="178" t="s">
        <v>194</v>
      </c>
      <c r="Y40" s="179" t="s">
        <v>195</v>
      </c>
    </row>
    <row r="41" spans="1:25" ht="18" hidden="1" customHeight="1" thickBot="1" x14ac:dyDescent="0.25">
      <c r="A41" s="30">
        <f t="shared" si="4"/>
        <v>0</v>
      </c>
      <c r="B41" s="46">
        <f>IF(E2-I28&gt;0,J31*D13/12*D41,M11*D13/12*D41)</f>
        <v>0</v>
      </c>
      <c r="C41" s="107" t="s">
        <v>196</v>
      </c>
      <c r="D41" s="180">
        <v>0</v>
      </c>
      <c r="E41" s="39" t="s">
        <v>197</v>
      </c>
      <c r="F41" s="181"/>
      <c r="G41" s="52"/>
      <c r="H41" s="39" t="s">
        <v>198</v>
      </c>
      <c r="I41" s="111"/>
      <c r="J41" s="74">
        <f>IF(OR(H2="Estimated Prelim",H2="Acquistion Approved"),J32*-1,M12*-1)</f>
        <v>0</v>
      </c>
      <c r="L41" s="23">
        <v>0</v>
      </c>
      <c r="M41" s="23">
        <v>0</v>
      </c>
      <c r="N41" s="10" t="s">
        <v>199</v>
      </c>
      <c r="O41" s="11">
        <v>0</v>
      </c>
      <c r="P41" s="23">
        <v>0</v>
      </c>
      <c r="Q41" s="87"/>
      <c r="R41" s="88"/>
      <c r="S41" s="88"/>
      <c r="T41" s="89"/>
      <c r="U41" s="90"/>
      <c r="V41" s="182">
        <f>M11</f>
        <v>0</v>
      </c>
      <c r="W41" s="182">
        <f>V41*D13/365</f>
        <v>0</v>
      </c>
      <c r="X41" s="81">
        <f ca="1">IF(P1="",TODAY()-M1,P1-M1)</f>
        <v>46100</v>
      </c>
      <c r="Y41" s="183">
        <f ca="1">W41*X41</f>
        <v>0</v>
      </c>
    </row>
    <row r="42" spans="1:25" ht="18" hidden="1" customHeight="1" thickBot="1" x14ac:dyDescent="0.25">
      <c r="A42" s="30">
        <f t="shared" si="4"/>
        <v>0</v>
      </c>
      <c r="B42" s="184">
        <f>IF(OR(H2="Estimated Prelim",H2="Acquistion Approved"),J32*D23/12*D42,M12*D23/12*D42)</f>
        <v>0</v>
      </c>
      <c r="C42" s="107" t="s">
        <v>200</v>
      </c>
      <c r="D42" s="180">
        <v>0</v>
      </c>
      <c r="E42" s="39" t="s">
        <v>197</v>
      </c>
      <c r="F42" s="181"/>
      <c r="G42" s="52"/>
      <c r="H42" s="137" t="s">
        <v>201</v>
      </c>
      <c r="I42" s="161"/>
      <c r="J42" s="74">
        <f>B15+B16</f>
        <v>0</v>
      </c>
      <c r="K42" s="8" t="s">
        <v>202</v>
      </c>
      <c r="L42" s="45">
        <f>SUM(L43:L51)</f>
        <v>0</v>
      </c>
      <c r="M42" s="45">
        <f>SUM(M43:M51)</f>
        <v>0</v>
      </c>
      <c r="N42" s="10" t="s">
        <v>203</v>
      </c>
      <c r="O42" s="11">
        <v>0</v>
      </c>
      <c r="P42" s="23">
        <v>0</v>
      </c>
      <c r="Q42" s="87"/>
      <c r="R42" s="88"/>
      <c r="S42" s="88"/>
      <c r="T42" s="89"/>
      <c r="U42" s="90"/>
      <c r="V42" s="185"/>
      <c r="W42" s="185"/>
      <c r="X42" s="28"/>
      <c r="Y42" s="185"/>
    </row>
    <row r="43" spans="1:25" ht="18" hidden="1" customHeight="1" thickBot="1" x14ac:dyDescent="0.25">
      <c r="A43" s="144">
        <f t="shared" si="4"/>
        <v>0</v>
      </c>
      <c r="B43" s="186">
        <f>SUM(B36:B42)</f>
        <v>0</v>
      </c>
      <c r="C43" s="31" t="s">
        <v>204</v>
      </c>
      <c r="D43" s="187"/>
      <c r="E43" s="31"/>
      <c r="F43" s="157"/>
      <c r="G43" s="158"/>
      <c r="H43" s="39" t="s">
        <v>205</v>
      </c>
      <c r="I43" s="161"/>
      <c r="J43" s="74">
        <f>IF(OR(H2="Estimated Prelim",H2="Acquistion Approved"),B14+B24,L36+L39)</f>
        <v>0</v>
      </c>
      <c r="K43" s="7" t="s">
        <v>206</v>
      </c>
      <c r="L43" s="11">
        <v>0</v>
      </c>
      <c r="M43" s="23">
        <v>0</v>
      </c>
      <c r="N43" s="188" t="s">
        <v>207</v>
      </c>
      <c r="O43" s="45">
        <f>SUM(O44:O45)</f>
        <v>0</v>
      </c>
      <c r="P43" s="45">
        <f>SUM(P44:P45)</f>
        <v>0</v>
      </c>
      <c r="Q43" s="87"/>
      <c r="R43" s="88"/>
      <c r="S43" s="88"/>
      <c r="T43" s="89"/>
      <c r="U43" s="90"/>
      <c r="W43" s="67"/>
      <c r="Y43" s="169" t="s">
        <v>184</v>
      </c>
    </row>
    <row r="44" spans="1:25" ht="18" customHeight="1" thickBot="1" x14ac:dyDescent="0.25">
      <c r="A44" s="331" t="s">
        <v>208</v>
      </c>
      <c r="B44" s="324"/>
      <c r="C44" s="324"/>
      <c r="D44" s="324"/>
      <c r="E44" s="324"/>
      <c r="F44" s="324"/>
      <c r="G44" s="325"/>
      <c r="H44" s="7" t="s">
        <v>209</v>
      </c>
      <c r="I44" s="161"/>
      <c r="J44" s="74">
        <f>IF(OR(H2="Estimated Prelim",H2="Acquistion Approved"),J30,IF(L40&gt;0,L40,J30))</f>
        <v>0</v>
      </c>
      <c r="K44" s="7" t="s">
        <v>210</v>
      </c>
      <c r="L44" s="11">
        <v>0</v>
      </c>
      <c r="M44" s="23">
        <v>0</v>
      </c>
      <c r="N44" s="10" t="s">
        <v>211</v>
      </c>
      <c r="O44" s="11">
        <v>0</v>
      </c>
      <c r="P44" s="23">
        <v>0</v>
      </c>
      <c r="Q44" s="87"/>
      <c r="R44" s="88"/>
      <c r="S44" s="88"/>
      <c r="T44" s="89"/>
      <c r="U44" s="90"/>
      <c r="Y44" s="170">
        <f ca="1">Y47-O18-L38-L39-W17+P23</f>
        <v>0</v>
      </c>
    </row>
    <row r="45" spans="1:25" ht="18" customHeight="1" thickBot="1" x14ac:dyDescent="0.25">
      <c r="A45" s="144">
        <f>B45/$B$45</f>
        <v>1</v>
      </c>
      <c r="B45" s="308">
        <v>1050000</v>
      </c>
      <c r="C45" s="189" t="s">
        <v>282</v>
      </c>
      <c r="D45" s="271" t="s">
        <v>212</v>
      </c>
      <c r="E45" s="272">
        <v>515000</v>
      </c>
      <c r="F45" s="271"/>
      <c r="G45" s="190"/>
      <c r="H45" s="39" t="s">
        <v>213</v>
      </c>
      <c r="I45" s="161" t="str">
        <f>CONCATENATE(I28," Months")</f>
        <v>0 Months</v>
      </c>
      <c r="J45" s="74">
        <f>IF(OR(H2="Estimated Prelim",H2="Acquistion Approved"),B13,L35)</f>
        <v>0</v>
      </c>
      <c r="K45" s="7" t="s">
        <v>214</v>
      </c>
      <c r="L45" s="11">
        <v>0</v>
      </c>
      <c r="M45" s="23">
        <v>0</v>
      </c>
      <c r="N45" s="10" t="s">
        <v>215</v>
      </c>
      <c r="O45" s="11">
        <v>0</v>
      </c>
      <c r="P45" s="23">
        <v>0</v>
      </c>
      <c r="Q45" s="87"/>
      <c r="R45" s="88"/>
      <c r="S45" s="88"/>
      <c r="T45" s="191"/>
      <c r="U45" s="90"/>
      <c r="V45" s="329" t="s">
        <v>216</v>
      </c>
      <c r="W45" s="329"/>
      <c r="X45" s="329"/>
      <c r="Y45" s="330"/>
    </row>
    <row r="46" spans="1:25" ht="18" customHeight="1" x14ac:dyDescent="0.2">
      <c r="A46" s="192">
        <v>0.01</v>
      </c>
      <c r="B46" s="274">
        <f>SUM(Estimated_Sales_Price*A46)</f>
        <v>5150</v>
      </c>
      <c r="C46" s="39" t="s">
        <v>57</v>
      </c>
      <c r="D46" s="39"/>
      <c r="E46" s="39" t="s">
        <v>258</v>
      </c>
      <c r="F46" s="39"/>
      <c r="G46" s="57"/>
      <c r="H46" s="39" t="s">
        <v>217</v>
      </c>
      <c r="I46" s="39" t="str">
        <f>CONCATENATE(I28," Months")</f>
        <v>0 Months</v>
      </c>
      <c r="J46" s="193">
        <f>IF(OR(H2="Estimated Prelim",H2="Acquistion Approved"),B23,L38)</f>
        <v>0</v>
      </c>
      <c r="K46" s="7" t="s">
        <v>218</v>
      </c>
      <c r="L46" s="11">
        <v>0</v>
      </c>
      <c r="M46" s="23">
        <v>0</v>
      </c>
      <c r="N46" s="59" t="s">
        <v>219</v>
      </c>
      <c r="O46" s="60">
        <f>SUM(O47:O48)</f>
        <v>0</v>
      </c>
      <c r="P46" s="60">
        <f>SUM(P47:P48)</f>
        <v>0</v>
      </c>
      <c r="Q46" s="87"/>
      <c r="R46" s="88"/>
      <c r="S46" s="88"/>
      <c r="T46" s="89"/>
      <c r="U46" s="90"/>
      <c r="V46" s="178" t="s">
        <v>192</v>
      </c>
      <c r="W46" s="178" t="s">
        <v>193</v>
      </c>
      <c r="X46" s="178" t="s">
        <v>194</v>
      </c>
      <c r="Y46" s="179" t="s">
        <v>195</v>
      </c>
    </row>
    <row r="47" spans="1:25" ht="18.75" customHeight="1" thickBot="1" x14ac:dyDescent="0.25">
      <c r="A47" s="295">
        <v>0</v>
      </c>
      <c r="B47" s="273">
        <v>0</v>
      </c>
      <c r="C47" s="39" t="s">
        <v>64</v>
      </c>
      <c r="D47" s="118">
        <f>E47/$B$45</f>
        <v>0.67619047619047623</v>
      </c>
      <c r="E47" s="102">
        <f>B10</f>
        <v>710000</v>
      </c>
      <c r="F47" s="39" t="s">
        <v>245</v>
      </c>
      <c r="G47" s="57"/>
      <c r="H47" s="39" t="s">
        <v>220</v>
      </c>
      <c r="I47" s="39"/>
      <c r="J47" s="194">
        <f>IF(J8="Yes",J12,0)</f>
        <v>5000</v>
      </c>
      <c r="K47" s="7" t="s">
        <v>221</v>
      </c>
      <c r="L47" s="11">
        <v>0</v>
      </c>
      <c r="M47" s="23">
        <v>0</v>
      </c>
      <c r="N47" s="10" t="s">
        <v>222</v>
      </c>
      <c r="O47" s="11">
        <v>0</v>
      </c>
      <c r="P47" s="23">
        <v>0</v>
      </c>
      <c r="Q47" s="87"/>
      <c r="R47" s="88"/>
      <c r="S47" s="88"/>
      <c r="T47" s="89"/>
      <c r="U47" s="90"/>
      <c r="V47" s="182">
        <f>M12</f>
        <v>0</v>
      </c>
      <c r="W47" s="182">
        <f>V47*D23/365</f>
        <v>0</v>
      </c>
      <c r="X47" s="81">
        <f ca="1">IF(P1="",TODAY()-M1,P1-M1)</f>
        <v>46100</v>
      </c>
      <c r="Y47" s="183">
        <f ca="1">W47*X47</f>
        <v>0</v>
      </c>
    </row>
    <row r="48" spans="1:25" ht="18" customHeight="1" x14ac:dyDescent="0.2">
      <c r="A48" s="295">
        <v>0</v>
      </c>
      <c r="B48" s="274">
        <f>IF(OR(H2="Estimated Prelim",H2="Acquistion Approved",H2="Final HUD -1 Purchase "),B45*A48,O49-HS_Seller_Credits_Credit)</f>
        <v>0</v>
      </c>
      <c r="C48" s="39" t="s">
        <v>223</v>
      </c>
      <c r="D48" s="118">
        <f>E48/$B$45</f>
        <v>0</v>
      </c>
      <c r="E48" s="102">
        <f>Total_Lender_Costs</f>
        <v>0</v>
      </c>
      <c r="F48" s="39" t="s">
        <v>249</v>
      </c>
      <c r="G48" s="195"/>
      <c r="H48" s="39" t="s">
        <v>88</v>
      </c>
      <c r="I48" s="39"/>
      <c r="J48" s="194">
        <f>IF(J14="Yes",J21,0)</f>
        <v>0</v>
      </c>
      <c r="K48" s="7" t="s">
        <v>224</v>
      </c>
      <c r="L48" s="11">
        <v>0</v>
      </c>
      <c r="M48" s="23">
        <v>0</v>
      </c>
      <c r="N48" s="10" t="s">
        <v>225</v>
      </c>
      <c r="O48" s="11">
        <v>0</v>
      </c>
      <c r="P48" s="23">
        <v>0</v>
      </c>
      <c r="Q48" s="87"/>
      <c r="R48" s="88"/>
      <c r="S48" s="88"/>
      <c r="T48" s="89"/>
      <c r="U48" s="90"/>
      <c r="V48" s="185"/>
      <c r="W48" s="185"/>
      <c r="X48" s="28"/>
      <c r="Y48" s="185"/>
    </row>
    <row r="49" spans="1:25" ht="18" customHeight="1" thickBot="1" x14ac:dyDescent="0.25">
      <c r="A49" s="313">
        <v>0.02</v>
      </c>
      <c r="B49" s="309">
        <f>IF(OR(H2="Estimated Prelim",H2="Acquistion Approved",H2="Final HUD -1 Purchase "),B45*A49,O25-HS_Buyers_Agent_Commissions_Credit)</f>
        <v>21000</v>
      </c>
      <c r="C49" s="39" t="s">
        <v>137</v>
      </c>
      <c r="D49" s="118">
        <f>E49/$B$45</f>
        <v>7.1428571428571425E-2</v>
      </c>
      <c r="E49" s="102">
        <f>B34</f>
        <v>75000</v>
      </c>
      <c r="F49" s="39" t="s">
        <v>252</v>
      </c>
      <c r="G49" s="57"/>
      <c r="H49" s="39" t="s">
        <v>226</v>
      </c>
      <c r="I49" s="39"/>
      <c r="J49" s="193">
        <f>B7</f>
        <v>0</v>
      </c>
      <c r="K49" s="7" t="s">
        <v>227</v>
      </c>
      <c r="L49" s="11">
        <v>0</v>
      </c>
      <c r="M49" s="23">
        <v>0</v>
      </c>
      <c r="N49" s="59" t="s">
        <v>228</v>
      </c>
      <c r="O49" s="60">
        <f>SUM(O50:O53)</f>
        <v>0</v>
      </c>
      <c r="P49" s="60">
        <f>SUM(P50:P53)</f>
        <v>0</v>
      </c>
      <c r="Q49" s="49"/>
      <c r="R49" s="11"/>
      <c r="S49" s="11"/>
      <c r="T49" s="196"/>
      <c r="U49" s="90"/>
    </row>
    <row r="50" spans="1:25" ht="18" customHeight="1" thickBot="1" x14ac:dyDescent="0.25">
      <c r="A50" s="313">
        <v>0.02</v>
      </c>
      <c r="B50" s="309">
        <f>Final_Sales_Price*A50</f>
        <v>21000</v>
      </c>
      <c r="C50" s="39" t="s">
        <v>141</v>
      </c>
      <c r="D50" s="118">
        <f>E50/$B$45</f>
        <v>0</v>
      </c>
      <c r="E50" s="214">
        <f>SUM(B36:B40)</f>
        <v>0</v>
      </c>
      <c r="F50" s="39" t="s">
        <v>255</v>
      </c>
      <c r="G50" s="147"/>
      <c r="H50" s="153" t="s">
        <v>229</v>
      </c>
      <c r="I50" s="153"/>
      <c r="J50" s="197" t="str">
        <f>B8</f>
        <v xml:space="preserve"> </v>
      </c>
      <c r="K50" s="7" t="s">
        <v>230</v>
      </c>
      <c r="L50" s="11">
        <v>0</v>
      </c>
      <c r="M50" s="23">
        <v>0</v>
      </c>
      <c r="N50" s="10" t="s">
        <v>231</v>
      </c>
      <c r="O50" s="23">
        <v>0</v>
      </c>
      <c r="P50" s="23">
        <v>0</v>
      </c>
      <c r="Q50" s="49"/>
      <c r="R50" s="23"/>
      <c r="S50" s="23"/>
      <c r="T50" s="198"/>
      <c r="U50" s="90"/>
      <c r="V50" s="329" t="s">
        <v>232</v>
      </c>
      <c r="W50" s="332"/>
      <c r="X50" s="332"/>
      <c r="Y50" s="333"/>
    </row>
    <row r="51" spans="1:25" ht="18" customHeight="1" x14ac:dyDescent="0.2">
      <c r="A51" s="295">
        <v>0</v>
      </c>
      <c r="B51" s="274">
        <f>IF(HS_Per_Diem_Adjustment_Debit&gt;0,HS_Per_Diem_Adjustment_Debit,HS_Per_Diem_Adjustment_Credit*-1)</f>
        <v>0</v>
      </c>
      <c r="C51" s="39" t="s">
        <v>29</v>
      </c>
      <c r="D51" s="219">
        <f>E51/$B$45</f>
        <v>0.74761904761904763</v>
      </c>
      <c r="E51" s="70">
        <f>SUM(E47+E48+E49+E50)</f>
        <v>785000</v>
      </c>
      <c r="F51" s="31" t="s">
        <v>258</v>
      </c>
      <c r="G51" s="147"/>
      <c r="H51" s="199" t="s">
        <v>233</v>
      </c>
      <c r="I51" s="199"/>
      <c r="J51" s="200">
        <f>SUM(J39:J50)</f>
        <v>-5000</v>
      </c>
      <c r="K51" s="7" t="s">
        <v>234</v>
      </c>
      <c r="L51" s="11">
        <v>0</v>
      </c>
      <c r="M51" s="23">
        <v>0</v>
      </c>
      <c r="N51" s="10" t="s">
        <v>235</v>
      </c>
      <c r="O51" s="23">
        <v>0</v>
      </c>
      <c r="P51" s="23">
        <v>0</v>
      </c>
      <c r="Q51" s="49"/>
      <c r="R51" s="23"/>
      <c r="S51" s="23"/>
      <c r="T51" s="198"/>
      <c r="U51" s="90"/>
      <c r="V51" s="178" t="s">
        <v>192</v>
      </c>
      <c r="W51" s="178" t="s">
        <v>96</v>
      </c>
      <c r="X51" s="178" t="s">
        <v>67</v>
      </c>
      <c r="Y51" s="179"/>
    </row>
    <row r="52" spans="1:25" ht="18" customHeight="1" thickBot="1" x14ac:dyDescent="0.25">
      <c r="A52" s="295">
        <v>0</v>
      </c>
      <c r="B52" s="274">
        <f>Final_Sales_Price*A52</f>
        <v>0</v>
      </c>
      <c r="C52" s="39" t="s">
        <v>236</v>
      </c>
      <c r="D52" s="40"/>
      <c r="E52" s="201"/>
      <c r="F52" s="39"/>
      <c r="G52" s="57"/>
      <c r="H52" s="111" t="s">
        <v>237</v>
      </c>
      <c r="I52" s="202" t="str">
        <f>CONCATENATE(D41," Months")</f>
        <v>0 Months</v>
      </c>
      <c r="J52" s="203">
        <f>B41</f>
        <v>0</v>
      </c>
      <c r="K52" s="204" t="s">
        <v>219</v>
      </c>
      <c r="L52" s="60">
        <f>SUM(L53:L55)</f>
        <v>0</v>
      </c>
      <c r="M52" s="60">
        <f>SUM(M53:M55)</f>
        <v>0</v>
      </c>
      <c r="N52" s="10" t="s">
        <v>238</v>
      </c>
      <c r="O52" s="23">
        <v>0</v>
      </c>
      <c r="P52" s="23">
        <v>0</v>
      </c>
      <c r="Q52" s="49"/>
      <c r="R52" s="23"/>
      <c r="S52" s="23"/>
      <c r="T52" s="198"/>
      <c r="U52" s="90"/>
      <c r="V52" s="182">
        <f>V41</f>
        <v>0</v>
      </c>
      <c r="W52" s="205">
        <f>D15</f>
        <v>0</v>
      </c>
      <c r="X52" s="182">
        <f>V52*W52</f>
        <v>0</v>
      </c>
      <c r="Y52" s="206"/>
    </row>
    <row r="53" spans="1:25" ht="18" customHeight="1" x14ac:dyDescent="0.2">
      <c r="A53" s="144">
        <f>B53/$B$45</f>
        <v>0.95509523809523811</v>
      </c>
      <c r="B53" s="145">
        <f>B45-SUM(B46:B52)</f>
        <v>1002850</v>
      </c>
      <c r="C53" s="31" t="s">
        <v>239</v>
      </c>
      <c r="D53" s="31"/>
      <c r="E53" s="31"/>
      <c r="F53" s="146"/>
      <c r="G53" s="147"/>
      <c r="H53" s="39" t="s">
        <v>217</v>
      </c>
      <c r="I53" s="202" t="str">
        <f>CONCATENATE(D42," Months")</f>
        <v>0 Months</v>
      </c>
      <c r="J53" s="193">
        <f>B42</f>
        <v>0</v>
      </c>
      <c r="K53" s="7" t="s">
        <v>240</v>
      </c>
      <c r="L53" s="11">
        <v>0</v>
      </c>
      <c r="M53" s="23">
        <v>0</v>
      </c>
      <c r="N53" s="10" t="s">
        <v>241</v>
      </c>
      <c r="O53" s="23">
        <v>0</v>
      </c>
      <c r="P53" s="23">
        <v>0</v>
      </c>
      <c r="Q53" s="49"/>
      <c r="R53" s="23"/>
      <c r="S53" s="23"/>
      <c r="T53" s="198"/>
      <c r="U53" s="90"/>
    </row>
    <row r="54" spans="1:25" ht="18" customHeight="1" thickBot="1" x14ac:dyDescent="0.25">
      <c r="A54" s="253"/>
      <c r="B54" s="324" t="s">
        <v>242</v>
      </c>
      <c r="C54" s="324"/>
      <c r="D54" s="324"/>
      <c r="E54" s="324"/>
      <c r="F54" s="324"/>
      <c r="G54" s="325"/>
      <c r="H54" s="270" t="s">
        <v>209</v>
      </c>
      <c r="I54" s="161"/>
      <c r="J54" s="74">
        <f>B34-J44</f>
        <v>75000</v>
      </c>
      <c r="K54" s="7" t="s">
        <v>243</v>
      </c>
      <c r="L54" s="11">
        <v>0</v>
      </c>
      <c r="M54" s="23">
        <v>0</v>
      </c>
      <c r="N54" s="59" t="s">
        <v>244</v>
      </c>
      <c r="O54" s="207">
        <v>0</v>
      </c>
      <c r="P54" s="207">
        <v>0</v>
      </c>
      <c r="Q54" s="49"/>
      <c r="R54" s="23"/>
      <c r="S54" s="23"/>
      <c r="T54" s="198"/>
      <c r="U54" s="90"/>
    </row>
    <row r="55" spans="1:25" ht="18" customHeight="1" x14ac:dyDescent="0.25">
      <c r="A55" s="310">
        <f>B55/$B$45</f>
        <v>0.20747619047619048</v>
      </c>
      <c r="B55" s="311">
        <f>B53-E47-E48-E49-E50</f>
        <v>217850</v>
      </c>
      <c r="C55" s="312" t="s">
        <v>268</v>
      </c>
      <c r="D55" s="289" t="s">
        <v>270</v>
      </c>
      <c r="E55" s="289"/>
      <c r="F55" s="289"/>
      <c r="G55" s="290"/>
      <c r="H55" s="39" t="s">
        <v>246</v>
      </c>
      <c r="I55" s="39"/>
      <c r="J55" s="194">
        <f>IF(J8="No",J12,0)</f>
        <v>0</v>
      </c>
      <c r="K55" s="7" t="s">
        <v>247</v>
      </c>
      <c r="L55" s="11">
        <v>0</v>
      </c>
      <c r="M55" s="23">
        <v>0</v>
      </c>
      <c r="N55" s="59" t="s">
        <v>248</v>
      </c>
      <c r="O55" s="207">
        <v>0</v>
      </c>
      <c r="P55" s="207">
        <v>0</v>
      </c>
      <c r="Q55" s="208"/>
      <c r="R55" s="11"/>
      <c r="S55" s="11"/>
      <c r="T55" s="198"/>
      <c r="U55" s="90"/>
    </row>
    <row r="56" spans="1:25" ht="18" customHeight="1" x14ac:dyDescent="0.2">
      <c r="A56" s="30"/>
      <c r="B56" s="209"/>
      <c r="C56" s="305">
        <v>0.5</v>
      </c>
      <c r="D56" s="39"/>
      <c r="E56" s="39"/>
      <c r="F56" s="39"/>
      <c r="G56" s="57"/>
      <c r="H56" s="39" t="s">
        <v>88</v>
      </c>
      <c r="I56" s="39"/>
      <c r="J56" s="194">
        <f>IF(J14="No",J21,0)</f>
        <v>0</v>
      </c>
      <c r="K56" s="8" t="s">
        <v>250</v>
      </c>
      <c r="L56" s="210"/>
      <c r="M56" s="210"/>
      <c r="N56" s="59" t="s">
        <v>251</v>
      </c>
      <c r="O56" s="60">
        <f>SUM(O57:O59)</f>
        <v>0</v>
      </c>
      <c r="P56" s="60">
        <f>SUM(P57:P59)</f>
        <v>0</v>
      </c>
      <c r="Q56" s="211"/>
      <c r="R56" s="11"/>
      <c r="S56" s="11"/>
      <c r="T56" s="198"/>
      <c r="U56" s="90"/>
    </row>
    <row r="57" spans="1:25" ht="18" customHeight="1" thickBot="1" x14ac:dyDescent="0.25">
      <c r="A57" s="30">
        <f>B57/$B$45</f>
        <v>0.10373809523809524</v>
      </c>
      <c r="B57" s="209">
        <f>Net_Profit_to_HSUSA*C56</f>
        <v>108925</v>
      </c>
      <c r="C57" s="301" t="s">
        <v>276</v>
      </c>
      <c r="D57" s="39"/>
      <c r="E57" s="39"/>
      <c r="F57" s="39"/>
      <c r="G57" s="57"/>
      <c r="H57" s="153" t="s">
        <v>253</v>
      </c>
      <c r="I57" s="153"/>
      <c r="J57" s="213">
        <f>SUM(B36:B40)</f>
        <v>0</v>
      </c>
      <c r="K57" s="84" t="s">
        <v>254</v>
      </c>
      <c r="L57" s="85">
        <v>0</v>
      </c>
      <c r="M57" s="85">
        <v>0</v>
      </c>
      <c r="N57" s="49"/>
      <c r="O57" s="23">
        <v>0</v>
      </c>
      <c r="P57" s="23">
        <v>0</v>
      </c>
      <c r="Q57" s="211"/>
      <c r="R57" s="11"/>
      <c r="S57" s="11"/>
      <c r="T57" s="198"/>
      <c r="U57" s="90"/>
    </row>
    <row r="58" spans="1:25" ht="18" customHeight="1" thickBot="1" x14ac:dyDescent="0.25">
      <c r="A58" s="141"/>
      <c r="B58" s="304">
        <f>B57/F9</f>
        <v>1.2448571428571429</v>
      </c>
      <c r="C58" s="302" t="s">
        <v>277</v>
      </c>
      <c r="D58" s="39"/>
      <c r="E58" s="39"/>
      <c r="F58" s="39"/>
      <c r="G58" s="57"/>
      <c r="H58" s="215" t="s">
        <v>256</v>
      </c>
      <c r="I58" s="215"/>
      <c r="J58" s="216">
        <f>SUM(J52:J57)</f>
        <v>75000</v>
      </c>
      <c r="K58" s="217" t="s">
        <v>257</v>
      </c>
      <c r="L58" s="218">
        <v>0</v>
      </c>
      <c r="M58" s="218">
        <v>0</v>
      </c>
      <c r="N58" s="49"/>
      <c r="O58" s="23">
        <v>0</v>
      </c>
      <c r="P58" s="23">
        <v>0</v>
      </c>
      <c r="Q58" s="211"/>
      <c r="R58" s="11"/>
      <c r="S58" s="11"/>
      <c r="T58" s="198"/>
      <c r="U58" s="90"/>
    </row>
    <row r="59" spans="1:25" ht="18" customHeight="1" thickTop="1" x14ac:dyDescent="0.2">
      <c r="A59" s="141"/>
      <c r="B59" s="304">
        <f>B58*12/4</f>
        <v>3.7345714285714289</v>
      </c>
      <c r="C59" s="303" t="s">
        <v>278</v>
      </c>
      <c r="D59" s="39"/>
      <c r="E59" s="39"/>
      <c r="F59" s="39"/>
      <c r="G59" s="57"/>
      <c r="H59" s="334" t="s">
        <v>259</v>
      </c>
      <c r="I59" s="334"/>
      <c r="J59" s="336">
        <f>SUM(J58,J51)</f>
        <v>70000</v>
      </c>
      <c r="K59" s="220" t="s">
        <v>260</v>
      </c>
      <c r="L59" s="23">
        <v>0</v>
      </c>
      <c r="M59" s="11">
        <v>0</v>
      </c>
      <c r="N59" s="49"/>
      <c r="O59" s="23">
        <v>0</v>
      </c>
      <c r="P59" s="23">
        <v>0</v>
      </c>
      <c r="Q59" s="211"/>
      <c r="R59" s="11"/>
      <c r="S59" s="11"/>
      <c r="T59" s="198"/>
      <c r="U59" s="90"/>
    </row>
    <row r="60" spans="1:25" ht="18" customHeight="1" thickBot="1" x14ac:dyDescent="0.25">
      <c r="A60" s="291"/>
      <c r="B60" s="292"/>
      <c r="C60" s="293"/>
      <c r="D60" s="153" t="s">
        <v>271</v>
      </c>
      <c r="E60" s="153"/>
      <c r="F60" s="153" t="s">
        <v>272</v>
      </c>
      <c r="G60" s="294"/>
      <c r="H60" s="335"/>
      <c r="I60" s="335"/>
      <c r="J60" s="337"/>
      <c r="L60" s="67"/>
      <c r="M60" s="221"/>
      <c r="N60" s="43" t="s">
        <v>261</v>
      </c>
      <c r="O60" s="44"/>
      <c r="P60" s="44"/>
      <c r="Q60" s="211"/>
      <c r="R60" s="11"/>
      <c r="S60" s="11"/>
      <c r="T60" s="198"/>
      <c r="U60" s="90"/>
    </row>
    <row r="61" spans="1:25" ht="18" customHeight="1" thickBot="1" x14ac:dyDescent="0.25">
      <c r="A61" s="7"/>
      <c r="G61" s="224"/>
      <c r="J61" s="168"/>
      <c r="N61" s="226"/>
      <c r="O61" s="227" t="e">
        <f>SUM(O3:O4,O5,O8,O16,O19,O24,O27,O31,O38,O43,O46,O54:O56,#REF!,O49)</f>
        <v>#REF!</v>
      </c>
      <c r="P61" s="227" t="e">
        <f>SUM(P3:P5,P8,P16,P19,P24,P27,P31,P38,P43,P46,P54:P56,#REF!,P49)</f>
        <v>#REF!</v>
      </c>
      <c r="Q61" s="223"/>
      <c r="R61" s="228"/>
      <c r="S61" s="228"/>
      <c r="T61" s="228"/>
      <c r="U61" s="229"/>
    </row>
    <row r="62" spans="1:25" ht="18" customHeight="1" x14ac:dyDescent="0.2">
      <c r="A62" s="7"/>
      <c r="O62" s="230"/>
      <c r="P62" s="231" t="e">
        <f>P61-O61</f>
        <v>#REF!</v>
      </c>
      <c r="Q62" s="232" t="s">
        <v>263</v>
      </c>
      <c r="R62" s="233" t="e">
        <f>SUM(R63:R71)</f>
        <v>#REF!</v>
      </c>
      <c r="S62" s="233">
        <f>SUM(S63:S71)</f>
        <v>0</v>
      </c>
      <c r="T62" s="233"/>
      <c r="U62" s="234"/>
    </row>
    <row r="63" spans="1:25" ht="18" customHeight="1" x14ac:dyDescent="0.2">
      <c r="O63" s="230"/>
      <c r="Q63" s="223" t="s">
        <v>264</v>
      </c>
      <c r="R63" s="228">
        <v>500</v>
      </c>
      <c r="S63" s="198"/>
      <c r="T63" s="198"/>
      <c r="U63" s="225"/>
    </row>
    <row r="64" spans="1:25" ht="18" customHeight="1" x14ac:dyDescent="0.2">
      <c r="O64" s="230"/>
      <c r="Q64" s="223" t="s">
        <v>166</v>
      </c>
      <c r="R64" s="228">
        <f>B38</f>
        <v>0</v>
      </c>
      <c r="S64" s="198"/>
      <c r="T64" s="198"/>
      <c r="U64" s="229"/>
    </row>
    <row r="65" spans="1:21" ht="18" customHeight="1" x14ac:dyDescent="0.2">
      <c r="O65" s="230"/>
      <c r="Q65" s="235" t="s">
        <v>265</v>
      </c>
      <c r="R65" s="228">
        <f>B5-L58</f>
        <v>0</v>
      </c>
      <c r="S65" s="198"/>
      <c r="T65" s="198"/>
      <c r="U65" s="225"/>
    </row>
    <row r="66" spans="1:21" ht="18" customHeight="1" x14ac:dyDescent="0.2">
      <c r="O66" s="230"/>
      <c r="Q66" s="223" t="s">
        <v>88</v>
      </c>
      <c r="R66" s="228">
        <f>B6</f>
        <v>10000</v>
      </c>
      <c r="S66" s="198"/>
      <c r="T66" s="198"/>
      <c r="U66" s="236"/>
    </row>
    <row r="67" spans="1:21" ht="18" customHeight="1" x14ac:dyDescent="0.2">
      <c r="O67" s="230"/>
      <c r="Q67" s="237" t="s">
        <v>262</v>
      </c>
      <c r="R67" s="238" t="e">
        <f>-#REF!</f>
        <v>#REF!</v>
      </c>
      <c r="S67" s="50"/>
      <c r="T67" s="50"/>
      <c r="U67" s="236"/>
    </row>
    <row r="68" spans="1:21" ht="18" customHeight="1" x14ac:dyDescent="0.2">
      <c r="O68" s="230"/>
      <c r="Q68" s="237" t="e">
        <f>IF(#REF!&gt;0,#REF!,"")</f>
        <v>#REF!</v>
      </c>
      <c r="R68" s="238"/>
      <c r="S68" s="50"/>
      <c r="T68" s="50"/>
      <c r="U68" s="236"/>
    </row>
    <row r="69" spans="1:21" ht="18" customHeight="1" x14ac:dyDescent="0.2">
      <c r="O69" s="230"/>
      <c r="Q69" s="237" t="e">
        <f>IF(#REF!&gt;0,#REF!,"")</f>
        <v>#REF!</v>
      </c>
      <c r="R69" s="238"/>
      <c r="S69" s="50"/>
      <c r="T69" s="50"/>
      <c r="U69" s="236"/>
    </row>
    <row r="70" spans="1:21" ht="18" customHeight="1" x14ac:dyDescent="0.2">
      <c r="O70" s="230"/>
      <c r="Q70" s="239"/>
      <c r="R70" s="238"/>
      <c r="S70" s="50"/>
      <c r="T70" s="50"/>
      <c r="U70" s="236"/>
    </row>
    <row r="71" spans="1:21" ht="18" customHeight="1" thickBot="1" x14ac:dyDescent="0.25">
      <c r="O71" s="230"/>
      <c r="Q71" s="237"/>
      <c r="R71" s="240"/>
      <c r="S71" s="241"/>
      <c r="T71" s="241"/>
      <c r="U71" s="236"/>
    </row>
    <row r="72" spans="1:21" ht="18" customHeight="1" thickTop="1" x14ac:dyDescent="0.2">
      <c r="L72" s="228"/>
      <c r="O72" s="7"/>
      <c r="P72" s="7"/>
      <c r="Q72" s="223" t="s">
        <v>266</v>
      </c>
      <c r="R72" s="231" t="e">
        <f>SUM(R62+#REF!)</f>
        <v>#REF!</v>
      </c>
      <c r="S72" s="231" t="e">
        <f>SUM(#REF!,S62)</f>
        <v>#REF!</v>
      </c>
      <c r="T72" s="231" t="e">
        <f>#REF!</f>
        <v>#REF!</v>
      </c>
      <c r="U72" s="242" t="e">
        <f>#REF!-R72-S72-T72</f>
        <v>#REF!</v>
      </c>
    </row>
    <row r="73" spans="1:21" ht="18" customHeight="1" x14ac:dyDescent="0.2">
      <c r="O73" s="7"/>
      <c r="P73" s="7"/>
      <c r="Q73" s="223"/>
      <c r="U73" s="243"/>
    </row>
    <row r="74" spans="1:21" ht="18" customHeight="1" x14ac:dyDescent="0.2">
      <c r="O74" s="7"/>
      <c r="P74" s="7"/>
      <c r="Q74" s="223"/>
      <c r="R74" s="244"/>
      <c r="S74" s="244"/>
      <c r="T74" s="244"/>
      <c r="U74" s="236"/>
    </row>
    <row r="75" spans="1:21" ht="18" customHeight="1" thickBot="1" x14ac:dyDescent="0.25">
      <c r="O75" s="7"/>
      <c r="P75" s="7"/>
      <c r="Q75" s="245"/>
      <c r="R75" s="246"/>
      <c r="S75" s="246"/>
      <c r="T75" s="246"/>
      <c r="U75" s="247"/>
    </row>
    <row r="76" spans="1:21" ht="18" customHeight="1" x14ac:dyDescent="0.2">
      <c r="O76" s="7"/>
      <c r="P76" s="7"/>
      <c r="Q76" s="248"/>
    </row>
    <row r="77" spans="1:21" ht="18" customHeight="1" x14ac:dyDescent="0.2">
      <c r="A77" s="7"/>
      <c r="O77" s="7"/>
      <c r="P77" s="7"/>
      <c r="Q77" s="249" t="s">
        <v>267</v>
      </c>
      <c r="R77" s="326"/>
      <c r="S77" s="326"/>
      <c r="T77" s="326"/>
    </row>
    <row r="78" spans="1:21" ht="18" customHeight="1" x14ac:dyDescent="0.2">
      <c r="A78" s="7"/>
      <c r="O78" s="7"/>
      <c r="P78" s="7"/>
      <c r="R78" s="13"/>
      <c r="S78" s="13"/>
      <c r="T78" s="13"/>
    </row>
    <row r="79" spans="1:21" ht="18" customHeight="1" x14ac:dyDescent="0.2">
      <c r="A79" s="7"/>
      <c r="O79" s="7"/>
      <c r="P79" s="7"/>
      <c r="R79" s="250"/>
      <c r="S79" s="250"/>
      <c r="T79" s="250"/>
    </row>
    <row r="80" spans="1:21" ht="18" customHeight="1" x14ac:dyDescent="0.2">
      <c r="A80" s="7"/>
      <c r="O80" s="7"/>
      <c r="P80" s="7"/>
    </row>
    <row r="81" spans="1:21" ht="18" customHeight="1" x14ac:dyDescent="0.2">
      <c r="A81" s="7"/>
      <c r="O81" s="7"/>
      <c r="P81" s="7"/>
    </row>
    <row r="82" spans="1:21" ht="18" customHeight="1" x14ac:dyDescent="0.2">
      <c r="A82" s="7"/>
      <c r="O82" s="7"/>
      <c r="P82" s="7"/>
    </row>
    <row r="83" spans="1:21" ht="18" customHeight="1" x14ac:dyDescent="0.2">
      <c r="A83" s="7"/>
      <c r="O83" s="7"/>
      <c r="P83" s="7"/>
    </row>
    <row r="84" spans="1:21" ht="18" customHeight="1" x14ac:dyDescent="0.2">
      <c r="A84" s="7"/>
      <c r="O84" s="7"/>
      <c r="P84" s="7"/>
    </row>
    <row r="85" spans="1:21" ht="18" customHeight="1" x14ac:dyDescent="0.2">
      <c r="A85" s="7"/>
      <c r="O85" s="7"/>
      <c r="P85" s="7"/>
    </row>
    <row r="86" spans="1:21" ht="18" customHeight="1" x14ac:dyDescent="0.2">
      <c r="A86" s="7"/>
      <c r="O86" s="7"/>
      <c r="P86" s="7"/>
    </row>
    <row r="87" spans="1:21" ht="18" customHeight="1" x14ac:dyDescent="0.2">
      <c r="A87" s="7"/>
      <c r="O87" s="7"/>
      <c r="P87" s="7"/>
    </row>
    <row r="88" spans="1:21" ht="18" customHeight="1" x14ac:dyDescent="0.2">
      <c r="A88" s="7"/>
      <c r="O88" s="7"/>
      <c r="P88" s="7"/>
    </row>
    <row r="89" spans="1:21" ht="18" customHeight="1" x14ac:dyDescent="0.2">
      <c r="A89" s="7"/>
      <c r="O89" s="7"/>
      <c r="P89" s="7"/>
      <c r="U89" s="7"/>
    </row>
    <row r="90" spans="1:21" ht="18" customHeight="1" x14ac:dyDescent="0.2">
      <c r="A90" s="7"/>
      <c r="O90" s="7"/>
      <c r="P90" s="7"/>
      <c r="U90" s="7"/>
    </row>
    <row r="91" spans="1:21" ht="18" customHeight="1" x14ac:dyDescent="0.2">
      <c r="A91" s="7"/>
      <c r="O91" s="7"/>
      <c r="P91" s="7"/>
      <c r="R91" s="7"/>
      <c r="S91" s="7"/>
      <c r="T91" s="7"/>
      <c r="U91" s="7"/>
    </row>
    <row r="92" spans="1:21" ht="18" customHeight="1" x14ac:dyDescent="0.2">
      <c r="A92" s="7"/>
      <c r="O92" s="7"/>
      <c r="P92" s="7"/>
      <c r="Q92" s="7"/>
      <c r="R92" s="7"/>
      <c r="S92" s="7"/>
      <c r="T92" s="7"/>
      <c r="U92" s="7"/>
    </row>
    <row r="93" spans="1:21" ht="18" customHeight="1" x14ac:dyDescent="0.2">
      <c r="A93" s="7"/>
      <c r="M93" s="7"/>
      <c r="O93" s="7"/>
      <c r="P93" s="7"/>
      <c r="Q93" s="7"/>
      <c r="R93" s="7"/>
      <c r="S93" s="7"/>
      <c r="T93" s="7"/>
      <c r="U93" s="7"/>
    </row>
    <row r="94" spans="1:21" ht="18" customHeight="1" x14ac:dyDescent="0.2">
      <c r="A94" s="7"/>
      <c r="M94" s="7"/>
      <c r="O94" s="7"/>
      <c r="P94" s="7"/>
      <c r="Q94" s="7"/>
      <c r="R94" s="7"/>
      <c r="S94" s="7"/>
      <c r="T94" s="7"/>
      <c r="U94" s="7"/>
    </row>
    <row r="95" spans="1:21" ht="18" customHeight="1" x14ac:dyDescent="0.2">
      <c r="A95" s="7"/>
      <c r="M95" s="7"/>
      <c r="O95" s="7"/>
      <c r="P95" s="7"/>
      <c r="Q95" s="7"/>
      <c r="R95" s="7"/>
      <c r="S95" s="7"/>
      <c r="T95" s="7"/>
      <c r="U95" s="7"/>
    </row>
    <row r="96" spans="1:21" ht="18" customHeight="1" x14ac:dyDescent="0.2">
      <c r="A96" s="7"/>
      <c r="M96" s="7"/>
      <c r="O96" s="7"/>
      <c r="P96" s="7"/>
      <c r="Q96" s="7"/>
      <c r="R96" s="7"/>
      <c r="S96" s="7"/>
      <c r="T96" s="7"/>
      <c r="U96" s="7"/>
    </row>
    <row r="97" s="7" customFormat="1" ht="18" customHeight="1" x14ac:dyDescent="0.2"/>
    <row r="98" s="7" customFormat="1" ht="18" customHeight="1" x14ac:dyDescent="0.2"/>
    <row r="99" s="7" customFormat="1" ht="18" customHeight="1" x14ac:dyDescent="0.2"/>
    <row r="100" s="7" customFormat="1" ht="18" customHeight="1" x14ac:dyDescent="0.2"/>
    <row r="101" s="7" customFormat="1" ht="18" customHeight="1" x14ac:dyDescent="0.2"/>
    <row r="102" s="7" customFormat="1" ht="18" customHeight="1" x14ac:dyDescent="0.2"/>
    <row r="103" s="7" customFormat="1" ht="18" customHeight="1" x14ac:dyDescent="0.2"/>
    <row r="104" s="7" customFormat="1" ht="18" customHeight="1" x14ac:dyDescent="0.2"/>
    <row r="105" s="7" customFormat="1" ht="18" customHeight="1" x14ac:dyDescent="0.2"/>
    <row r="106" s="7" customFormat="1" ht="18" customHeight="1" x14ac:dyDescent="0.2"/>
    <row r="107" s="7" customFormat="1" ht="18" customHeight="1" x14ac:dyDescent="0.2"/>
    <row r="108" s="7" customFormat="1" ht="18" customHeight="1" x14ac:dyDescent="0.2"/>
    <row r="109" s="7" customFormat="1" ht="18" customHeight="1" x14ac:dyDescent="0.2"/>
    <row r="110" s="7" customFormat="1" ht="18" customHeight="1" x14ac:dyDescent="0.2"/>
    <row r="111" s="7" customFormat="1" ht="18" customHeight="1" x14ac:dyDescent="0.2"/>
    <row r="112" s="7" customFormat="1" ht="18" customHeight="1" x14ac:dyDescent="0.2"/>
    <row r="113" s="7" customFormat="1" ht="18" customHeight="1" x14ac:dyDescent="0.2"/>
    <row r="114" s="7" customFormat="1" ht="18" customHeight="1" x14ac:dyDescent="0.2"/>
    <row r="115" s="7" customFormat="1" ht="18" customHeight="1" x14ac:dyDescent="0.2"/>
    <row r="116" s="7" customFormat="1" ht="18" customHeight="1" x14ac:dyDescent="0.2"/>
    <row r="117" s="7" customFormat="1" ht="18" customHeight="1" x14ac:dyDescent="0.2"/>
    <row r="118" s="7" customFormat="1" ht="18" customHeight="1" x14ac:dyDescent="0.2"/>
    <row r="119" s="7" customFormat="1" ht="18" customHeight="1" x14ac:dyDescent="0.2"/>
    <row r="120" s="7" customFormat="1" ht="18" customHeight="1" x14ac:dyDescent="0.2"/>
    <row r="121" s="7" customFormat="1" ht="18" customHeight="1" x14ac:dyDescent="0.2"/>
    <row r="122" s="7" customFormat="1" ht="18" customHeight="1" x14ac:dyDescent="0.2"/>
    <row r="123" s="7" customFormat="1" ht="18" customHeight="1" x14ac:dyDescent="0.2"/>
    <row r="124" s="7" customFormat="1" ht="18" customHeight="1" x14ac:dyDescent="0.2"/>
    <row r="125" s="7" customFormat="1" ht="18" customHeight="1" x14ac:dyDescent="0.2"/>
    <row r="126" s="7" customFormat="1" ht="18" customHeight="1" x14ac:dyDescent="0.2"/>
    <row r="127" s="7" customFormat="1" ht="18" customHeight="1" x14ac:dyDescent="0.2"/>
    <row r="128" s="7" customFormat="1" ht="18" customHeight="1" x14ac:dyDescent="0.2"/>
    <row r="129" s="7" customFormat="1" ht="18" customHeight="1" x14ac:dyDescent="0.2"/>
    <row r="130" s="7" customFormat="1" ht="18" customHeight="1" x14ac:dyDescent="0.2"/>
    <row r="131" s="7" customFormat="1" ht="18" customHeight="1" x14ac:dyDescent="0.2"/>
    <row r="132" s="7" customFormat="1" ht="18" customHeight="1" x14ac:dyDescent="0.2"/>
    <row r="133" s="7" customFormat="1" ht="18" customHeight="1" x14ac:dyDescent="0.2"/>
    <row r="134" s="7" customFormat="1" ht="18" customHeight="1" x14ac:dyDescent="0.2"/>
    <row r="135" s="7" customFormat="1" ht="18" customHeight="1" x14ac:dyDescent="0.2"/>
    <row r="136" s="7" customFormat="1" ht="18" customHeight="1" x14ac:dyDescent="0.2"/>
    <row r="137" s="7" customFormat="1" ht="18" customHeight="1" x14ac:dyDescent="0.2"/>
    <row r="138" s="7" customFormat="1" ht="18" customHeight="1" x14ac:dyDescent="0.2"/>
    <row r="139" s="7" customFormat="1" ht="18" customHeight="1" x14ac:dyDescent="0.2"/>
    <row r="140" s="7" customFormat="1" ht="18" customHeight="1" x14ac:dyDescent="0.2"/>
    <row r="141" s="7" customFormat="1" ht="18" customHeight="1" x14ac:dyDescent="0.2"/>
    <row r="142" s="7" customFormat="1" ht="18" customHeight="1" x14ac:dyDescent="0.2"/>
    <row r="143" s="7" customFormat="1" ht="18" customHeight="1" x14ac:dyDescent="0.2"/>
    <row r="144" s="7" customFormat="1" ht="18" customHeight="1" x14ac:dyDescent="0.2"/>
    <row r="145" s="7" customFormat="1" ht="18" customHeight="1" x14ac:dyDescent="0.2"/>
    <row r="146" s="7" customFormat="1" ht="18" customHeight="1" x14ac:dyDescent="0.2"/>
    <row r="147" s="7" customFormat="1" ht="18" customHeight="1" x14ac:dyDescent="0.2"/>
    <row r="148" s="7" customFormat="1" ht="18" customHeight="1" x14ac:dyDescent="0.2"/>
    <row r="149" s="7" customFormat="1" ht="18" customHeight="1" x14ac:dyDescent="0.2"/>
    <row r="150" s="7" customFormat="1" ht="18" customHeight="1" x14ac:dyDescent="0.2"/>
    <row r="151" s="7" customFormat="1" ht="18" customHeight="1" x14ac:dyDescent="0.2"/>
    <row r="152" s="7" customFormat="1" ht="18" customHeight="1" x14ac:dyDescent="0.2"/>
    <row r="153" s="7" customFormat="1" ht="18" customHeight="1" x14ac:dyDescent="0.2"/>
    <row r="154" s="7" customFormat="1" ht="18" customHeight="1" x14ac:dyDescent="0.2"/>
    <row r="155" s="7" customFormat="1" ht="18" customHeight="1" x14ac:dyDescent="0.2"/>
    <row r="156" s="7" customFormat="1" ht="18" customHeight="1" x14ac:dyDescent="0.2"/>
    <row r="157" s="7" customFormat="1" ht="18" customHeight="1" x14ac:dyDescent="0.2"/>
    <row r="158" s="7" customFormat="1" ht="18" customHeight="1" x14ac:dyDescent="0.2"/>
    <row r="159" s="7" customFormat="1" ht="18" customHeight="1" x14ac:dyDescent="0.2"/>
    <row r="160" s="7" customFormat="1" ht="18" customHeight="1" x14ac:dyDescent="0.2"/>
    <row r="161" s="7" customFormat="1" ht="18" customHeight="1" x14ac:dyDescent="0.2"/>
    <row r="162" s="7" customFormat="1" ht="18" customHeight="1" x14ac:dyDescent="0.2"/>
    <row r="163" s="7" customFormat="1" ht="18" customHeight="1" x14ac:dyDescent="0.2"/>
    <row r="164" s="7" customFormat="1" ht="18" customHeight="1" x14ac:dyDescent="0.2"/>
    <row r="165" s="7" customFormat="1" ht="18" customHeight="1" x14ac:dyDescent="0.2"/>
    <row r="166" s="7" customFormat="1" ht="18" customHeight="1" x14ac:dyDescent="0.2"/>
    <row r="167" s="7" customFormat="1" ht="18" customHeight="1" x14ac:dyDescent="0.2"/>
    <row r="168" s="7" customFormat="1" ht="18" customHeight="1" x14ac:dyDescent="0.2"/>
    <row r="169" s="7" customFormat="1" ht="18" customHeight="1" x14ac:dyDescent="0.2"/>
    <row r="170" s="7" customFormat="1" ht="18" customHeight="1" x14ac:dyDescent="0.2"/>
    <row r="171" s="7" customFormat="1" x14ac:dyDescent="0.2"/>
    <row r="172" s="7" customFormat="1" x14ac:dyDescent="0.2"/>
    <row r="173" s="7" customFormat="1" x14ac:dyDescent="0.2"/>
    <row r="174" s="7" customFormat="1" x14ac:dyDescent="0.2"/>
    <row r="175" s="7" customFormat="1" x14ac:dyDescent="0.2"/>
    <row r="176" s="7" customFormat="1" x14ac:dyDescent="0.2"/>
    <row r="177" spans="1:21" x14ac:dyDescent="0.2">
      <c r="A177" s="7"/>
      <c r="M177" s="7"/>
      <c r="O177" s="7"/>
      <c r="P177" s="7"/>
      <c r="Q177" s="7"/>
      <c r="R177" s="7"/>
      <c r="S177" s="7"/>
      <c r="T177" s="7"/>
      <c r="U177" s="7"/>
    </row>
    <row r="178" spans="1:21" x14ac:dyDescent="0.2">
      <c r="A178" s="7"/>
      <c r="M178" s="7"/>
      <c r="O178" s="7"/>
      <c r="P178" s="7"/>
      <c r="Q178" s="7"/>
      <c r="R178" s="7"/>
      <c r="S178" s="7"/>
      <c r="T178" s="7"/>
      <c r="U178" s="7"/>
    </row>
    <row r="179" spans="1:21" x14ac:dyDescent="0.2">
      <c r="A179" s="7"/>
      <c r="M179" s="7"/>
      <c r="O179" s="7"/>
      <c r="P179" s="7"/>
      <c r="Q179" s="7"/>
      <c r="R179" s="7"/>
      <c r="S179" s="7"/>
      <c r="T179" s="7"/>
      <c r="U179" s="7"/>
    </row>
    <row r="180" spans="1:21" x14ac:dyDescent="0.2">
      <c r="A180" s="7"/>
      <c r="M180" s="7"/>
      <c r="O180" s="7"/>
      <c r="P180" s="7"/>
      <c r="Q180" s="7"/>
      <c r="R180" s="7"/>
      <c r="S180" s="7"/>
      <c r="T180" s="7"/>
      <c r="U180" s="7"/>
    </row>
    <row r="181" spans="1:21" x14ac:dyDescent="0.2">
      <c r="A181" s="7"/>
      <c r="M181" s="7"/>
      <c r="O181" s="7"/>
      <c r="P181" s="7"/>
      <c r="Q181" s="7"/>
      <c r="R181" s="7"/>
      <c r="S181" s="7"/>
      <c r="T181" s="7"/>
      <c r="U181" s="7"/>
    </row>
    <row r="182" spans="1:21" x14ac:dyDescent="0.2">
      <c r="A182" s="7"/>
      <c r="M182" s="7"/>
      <c r="O182" s="7"/>
      <c r="P182" s="7"/>
      <c r="Q182" s="7"/>
      <c r="R182" s="7"/>
      <c r="S182" s="7"/>
      <c r="T182" s="7"/>
      <c r="U182" s="7"/>
    </row>
    <row r="183" spans="1:21" x14ac:dyDescent="0.2">
      <c r="A183" s="7"/>
      <c r="M183" s="7"/>
      <c r="O183" s="7"/>
      <c r="P183" s="7"/>
      <c r="Q183" s="7"/>
      <c r="R183" s="7"/>
      <c r="S183" s="7"/>
      <c r="T183" s="7"/>
      <c r="U183" s="7"/>
    </row>
    <row r="184" spans="1:21" x14ac:dyDescent="0.2">
      <c r="A184" s="7"/>
      <c r="M184" s="7"/>
      <c r="Q184" s="7"/>
      <c r="R184" s="7"/>
      <c r="S184" s="7"/>
      <c r="T184" s="7"/>
      <c r="U184" s="7"/>
    </row>
    <row r="185" spans="1:21" x14ac:dyDescent="0.2">
      <c r="A185" s="7"/>
      <c r="M185" s="7"/>
      <c r="Q185" s="7"/>
      <c r="R185" s="7"/>
      <c r="S185" s="7"/>
      <c r="T185" s="7"/>
      <c r="U185" s="7"/>
    </row>
    <row r="186" spans="1:21" x14ac:dyDescent="0.2">
      <c r="M186" s="7"/>
      <c r="Q186" s="7"/>
      <c r="R186" s="7"/>
      <c r="S186" s="7"/>
      <c r="T186" s="7"/>
      <c r="U186" s="7"/>
    </row>
    <row r="187" spans="1:21" x14ac:dyDescent="0.2">
      <c r="M187" s="7"/>
      <c r="Q187" s="7"/>
      <c r="R187" s="7"/>
      <c r="S187" s="7"/>
      <c r="T187" s="7"/>
      <c r="U187" s="7"/>
    </row>
    <row r="188" spans="1:21" x14ac:dyDescent="0.2">
      <c r="M188" s="7"/>
      <c r="Q188" s="7"/>
      <c r="R188" s="7"/>
      <c r="S188" s="7"/>
      <c r="T188" s="7"/>
      <c r="U188" s="7"/>
    </row>
    <row r="189" spans="1:21" x14ac:dyDescent="0.2">
      <c r="A189" s="7"/>
      <c r="M189" s="7"/>
      <c r="Q189" s="7"/>
      <c r="R189" s="7"/>
      <c r="S189" s="7"/>
      <c r="T189" s="7"/>
      <c r="U189" s="7"/>
    </row>
    <row r="190" spans="1:21" x14ac:dyDescent="0.2">
      <c r="A190" s="7"/>
      <c r="M190" s="7"/>
      <c r="Q190" s="7"/>
      <c r="R190" s="7"/>
      <c r="S190" s="7"/>
      <c r="T190" s="7"/>
      <c r="U190" s="7"/>
    </row>
    <row r="191" spans="1:21" x14ac:dyDescent="0.2">
      <c r="A191" s="7"/>
      <c r="M191" s="7"/>
      <c r="Q191" s="7"/>
      <c r="R191" s="7"/>
      <c r="S191" s="7"/>
      <c r="T191" s="7"/>
      <c r="U191" s="7"/>
    </row>
    <row r="192" spans="1:21" x14ac:dyDescent="0.2">
      <c r="A192" s="7"/>
      <c r="M192" s="7"/>
      <c r="Q192" s="7"/>
      <c r="R192" s="7"/>
      <c r="S192" s="7"/>
      <c r="T192" s="7"/>
      <c r="U192" s="7"/>
    </row>
    <row r="193" spans="1:21" s="7" customFormat="1" x14ac:dyDescent="0.2">
      <c r="O193" s="251"/>
      <c r="P193" s="231"/>
    </row>
    <row r="194" spans="1:21" s="7" customFormat="1" x14ac:dyDescent="0.2">
      <c r="O194" s="251"/>
      <c r="P194" s="231"/>
    </row>
    <row r="195" spans="1:21" s="7" customFormat="1" x14ac:dyDescent="0.2">
      <c r="O195" s="251"/>
      <c r="P195" s="231"/>
    </row>
    <row r="196" spans="1:21" s="7" customFormat="1" x14ac:dyDescent="0.2">
      <c r="O196" s="251"/>
      <c r="P196" s="231"/>
    </row>
    <row r="197" spans="1:21" s="7" customFormat="1" x14ac:dyDescent="0.2">
      <c r="O197" s="251"/>
      <c r="P197" s="231"/>
    </row>
    <row r="198" spans="1:21" s="7" customFormat="1" x14ac:dyDescent="0.2">
      <c r="O198" s="251"/>
      <c r="P198" s="231"/>
    </row>
    <row r="199" spans="1:21" s="7" customFormat="1" x14ac:dyDescent="0.2">
      <c r="O199" s="251"/>
      <c r="P199" s="231"/>
    </row>
    <row r="200" spans="1:21" s="7" customFormat="1" x14ac:dyDescent="0.2">
      <c r="O200" s="251"/>
      <c r="P200" s="231"/>
    </row>
    <row r="201" spans="1:21" s="7" customFormat="1" x14ac:dyDescent="0.2">
      <c r="O201" s="251"/>
      <c r="P201" s="231"/>
    </row>
    <row r="202" spans="1:21" s="7" customFormat="1" x14ac:dyDescent="0.2">
      <c r="M202" s="222"/>
      <c r="O202" s="251"/>
      <c r="P202" s="231"/>
    </row>
    <row r="203" spans="1:21" s="7" customFormat="1" x14ac:dyDescent="0.2">
      <c r="M203" s="222"/>
      <c r="O203" s="251"/>
      <c r="P203" s="231"/>
    </row>
    <row r="204" spans="1:21" x14ac:dyDescent="0.2">
      <c r="A204" s="7"/>
      <c r="R204" s="7"/>
      <c r="S204" s="7"/>
      <c r="T204" s="7"/>
      <c r="U204" s="7"/>
    </row>
    <row r="205" spans="1:21" s="7" customFormat="1" x14ac:dyDescent="0.2">
      <c r="O205" s="251"/>
      <c r="P205" s="231"/>
      <c r="Q205" s="231"/>
    </row>
    <row r="206" spans="1:21" s="7" customFormat="1" x14ac:dyDescent="0.2">
      <c r="Q206" s="231"/>
    </row>
    <row r="207" spans="1:21" s="7" customFormat="1" x14ac:dyDescent="0.2">
      <c r="Q207" s="231"/>
    </row>
    <row r="208" spans="1:21" s="7" customFormat="1" x14ac:dyDescent="0.2">
      <c r="Q208" s="231"/>
    </row>
    <row r="209" spans="17:17" s="7" customFormat="1" x14ac:dyDescent="0.2">
      <c r="Q209" s="231"/>
    </row>
    <row r="210" spans="17:17" s="7" customFormat="1" x14ac:dyDescent="0.2">
      <c r="Q210" s="231"/>
    </row>
    <row r="211" spans="17:17" s="7" customFormat="1" x14ac:dyDescent="0.2">
      <c r="Q211" s="231"/>
    </row>
    <row r="212" spans="17:17" s="7" customFormat="1" x14ac:dyDescent="0.2">
      <c r="Q212" s="231"/>
    </row>
    <row r="213" spans="17:17" s="7" customFormat="1" x14ac:dyDescent="0.2">
      <c r="Q213" s="231"/>
    </row>
    <row r="214" spans="17:17" s="7" customFormat="1" x14ac:dyDescent="0.2">
      <c r="Q214" s="231"/>
    </row>
    <row r="215" spans="17:17" s="7" customFormat="1" x14ac:dyDescent="0.2">
      <c r="Q215" s="231"/>
    </row>
    <row r="216" spans="17:17" s="7" customFormat="1" x14ac:dyDescent="0.2">
      <c r="Q216" s="231"/>
    </row>
    <row r="217" spans="17:17" s="7" customFormat="1" x14ac:dyDescent="0.2">
      <c r="Q217" s="231"/>
    </row>
    <row r="218" spans="17:17" s="7" customFormat="1" x14ac:dyDescent="0.2">
      <c r="Q218" s="231"/>
    </row>
    <row r="219" spans="17:17" s="7" customFormat="1" x14ac:dyDescent="0.2"/>
    <row r="220" spans="17:17" s="7" customFormat="1" x14ac:dyDescent="0.2"/>
    <row r="221" spans="17:17" s="7" customFormat="1" x14ac:dyDescent="0.2"/>
    <row r="222" spans="17:17" s="7" customFormat="1" x14ac:dyDescent="0.2"/>
    <row r="223" spans="17:17" s="7" customFormat="1" x14ac:dyDescent="0.2"/>
    <row r="224" spans="17:17" s="7" customFormat="1" x14ac:dyDescent="0.2"/>
    <row r="225" s="7" customFormat="1" x14ac:dyDescent="0.2"/>
    <row r="226" s="7" customFormat="1" x14ac:dyDescent="0.2"/>
    <row r="227" s="7" customFormat="1" x14ac:dyDescent="0.2"/>
    <row r="228" s="7" customFormat="1" x14ac:dyDescent="0.2"/>
    <row r="229" s="7" customFormat="1" x14ac:dyDescent="0.2"/>
    <row r="230" s="7" customFormat="1" x14ac:dyDescent="0.2"/>
    <row r="231" s="7" customFormat="1" x14ac:dyDescent="0.2"/>
    <row r="232" s="7" customFormat="1" x14ac:dyDescent="0.2"/>
    <row r="233" s="7" customFormat="1" x14ac:dyDescent="0.2"/>
    <row r="234" s="7" customFormat="1" x14ac:dyDescent="0.2"/>
    <row r="235" s="7" customFormat="1" x14ac:dyDescent="0.2"/>
    <row r="236" s="7" customFormat="1" x14ac:dyDescent="0.2"/>
    <row r="237" s="7" customFormat="1" x14ac:dyDescent="0.2"/>
    <row r="238" s="7" customFormat="1" x14ac:dyDescent="0.2"/>
    <row r="239" s="7" customFormat="1" x14ac:dyDescent="0.2"/>
    <row r="240" s="7" customFormat="1" x14ac:dyDescent="0.2"/>
    <row r="241" s="7" customFormat="1" x14ac:dyDescent="0.2"/>
    <row r="242" s="7" customFormat="1" x14ac:dyDescent="0.2"/>
    <row r="243" s="7" customFormat="1" x14ac:dyDescent="0.2"/>
    <row r="244" s="7" customFormat="1" x14ac:dyDescent="0.2"/>
    <row r="245" s="7" customFormat="1" x14ac:dyDescent="0.2"/>
    <row r="246" s="7" customFormat="1" x14ac:dyDescent="0.2"/>
    <row r="247" s="7" customFormat="1" x14ac:dyDescent="0.2"/>
    <row r="248" s="7" customFormat="1" x14ac:dyDescent="0.2"/>
    <row r="249" s="7" customFormat="1" x14ac:dyDescent="0.2"/>
    <row r="250" s="7" customFormat="1" x14ac:dyDescent="0.2"/>
    <row r="251" s="7" customFormat="1" x14ac:dyDescent="0.2"/>
    <row r="252" s="7" customFormat="1" x14ac:dyDescent="0.2"/>
    <row r="253" s="7" customFormat="1" x14ac:dyDescent="0.2"/>
    <row r="254" s="7" customFormat="1" x14ac:dyDescent="0.2"/>
    <row r="255" s="7" customFormat="1" x14ac:dyDescent="0.2"/>
    <row r="256" s="7" customFormat="1" x14ac:dyDescent="0.2"/>
    <row r="257" spans="1:21" x14ac:dyDescent="0.2">
      <c r="A257" s="7"/>
      <c r="M257" s="7"/>
      <c r="O257" s="7"/>
      <c r="P257" s="7"/>
      <c r="Q257" s="7"/>
      <c r="R257" s="7"/>
      <c r="S257" s="7"/>
      <c r="T257" s="7"/>
      <c r="U257" s="7"/>
    </row>
    <row r="258" spans="1:21" x14ac:dyDescent="0.2">
      <c r="A258" s="7"/>
      <c r="M258" s="7"/>
      <c r="O258" s="7"/>
      <c r="P258" s="7"/>
      <c r="Q258" s="7"/>
      <c r="R258" s="7"/>
      <c r="S258" s="7"/>
      <c r="T258" s="7"/>
      <c r="U258" s="7"/>
    </row>
    <row r="259" spans="1:21" x14ac:dyDescent="0.2">
      <c r="A259" s="7"/>
      <c r="M259" s="7"/>
      <c r="O259" s="7"/>
      <c r="P259" s="7"/>
      <c r="Q259" s="7"/>
      <c r="R259" s="7"/>
      <c r="S259" s="7"/>
      <c r="T259" s="7"/>
      <c r="U259" s="7"/>
    </row>
    <row r="260" spans="1:21" x14ac:dyDescent="0.2">
      <c r="A260" s="7"/>
      <c r="M260" s="7"/>
      <c r="O260" s="7"/>
      <c r="P260" s="7"/>
      <c r="Q260" s="7"/>
      <c r="R260" s="7"/>
      <c r="S260" s="7"/>
      <c r="T260" s="7"/>
      <c r="U260" s="7"/>
    </row>
    <row r="261" spans="1:21" x14ac:dyDescent="0.2">
      <c r="A261" s="7"/>
      <c r="M261" s="7"/>
      <c r="O261" s="7"/>
      <c r="P261" s="7"/>
      <c r="Q261" s="7"/>
      <c r="R261" s="7"/>
      <c r="S261" s="7"/>
      <c r="T261" s="7"/>
      <c r="U261" s="7"/>
    </row>
    <row r="262" spans="1:21" x14ac:dyDescent="0.2">
      <c r="M262" s="7"/>
      <c r="O262" s="7"/>
      <c r="P262" s="7"/>
      <c r="Q262" s="7"/>
      <c r="R262" s="7"/>
      <c r="S262" s="7"/>
      <c r="T262" s="7"/>
      <c r="U262" s="7"/>
    </row>
    <row r="263" spans="1:21" x14ac:dyDescent="0.2">
      <c r="M263" s="7"/>
      <c r="O263" s="7"/>
      <c r="P263" s="7"/>
      <c r="Q263" s="7"/>
      <c r="R263" s="7"/>
      <c r="S263" s="7"/>
      <c r="T263" s="7"/>
      <c r="U263" s="7"/>
    </row>
    <row r="264" spans="1:21" x14ac:dyDescent="0.2">
      <c r="A264" s="7"/>
      <c r="M264" s="7"/>
      <c r="O264" s="7"/>
      <c r="P264" s="7"/>
      <c r="Q264" s="7"/>
      <c r="R264" s="7"/>
      <c r="S264" s="7"/>
      <c r="T264" s="7"/>
      <c r="U264" s="7"/>
    </row>
    <row r="265" spans="1:21" x14ac:dyDescent="0.2">
      <c r="A265" s="7"/>
      <c r="M265" s="7"/>
      <c r="O265" s="7"/>
      <c r="P265" s="7"/>
      <c r="Q265" s="7"/>
      <c r="R265" s="7"/>
      <c r="S265" s="7"/>
      <c r="T265" s="7"/>
      <c r="U265" s="7"/>
    </row>
    <row r="266" spans="1:21" x14ac:dyDescent="0.2">
      <c r="A266" s="7"/>
      <c r="M266" s="7"/>
      <c r="O266" s="7"/>
      <c r="P266" s="7"/>
      <c r="Q266" s="7"/>
      <c r="R266" s="7"/>
      <c r="S266" s="7"/>
      <c r="T266" s="7"/>
      <c r="U266" s="7"/>
    </row>
    <row r="267" spans="1:21" x14ac:dyDescent="0.2">
      <c r="A267" s="7"/>
      <c r="M267" s="7"/>
      <c r="O267" s="7"/>
      <c r="P267" s="7"/>
      <c r="Q267" s="7"/>
      <c r="R267" s="7"/>
      <c r="S267" s="7"/>
      <c r="T267" s="7"/>
      <c r="U267" s="7"/>
    </row>
    <row r="268" spans="1:21" x14ac:dyDescent="0.2">
      <c r="A268" s="7"/>
      <c r="M268" s="7"/>
      <c r="O268" s="7"/>
      <c r="P268" s="7"/>
      <c r="Q268" s="7"/>
      <c r="R268" s="7"/>
      <c r="S268" s="7"/>
      <c r="T268" s="7"/>
      <c r="U268" s="7"/>
    </row>
    <row r="269" spans="1:21" x14ac:dyDescent="0.2">
      <c r="A269" s="7"/>
      <c r="M269" s="7"/>
      <c r="O269" s="7"/>
      <c r="P269" s="7"/>
      <c r="Q269" s="7"/>
      <c r="R269" s="7"/>
      <c r="S269" s="7"/>
      <c r="T269" s="7"/>
      <c r="U269" s="7"/>
    </row>
    <row r="270" spans="1:21" x14ac:dyDescent="0.2">
      <c r="A270" s="7"/>
      <c r="M270" s="7"/>
      <c r="O270" s="7"/>
      <c r="P270" s="7"/>
      <c r="Q270" s="7"/>
      <c r="R270" s="7"/>
      <c r="S270" s="7"/>
      <c r="T270" s="7"/>
      <c r="U270" s="7"/>
    </row>
    <row r="271" spans="1:21" x14ac:dyDescent="0.2">
      <c r="A271" s="7"/>
      <c r="M271" s="7"/>
      <c r="O271" s="7"/>
      <c r="P271" s="7"/>
      <c r="Q271" s="7"/>
      <c r="R271" s="7"/>
      <c r="S271" s="7"/>
      <c r="T271" s="7"/>
      <c r="U271" s="7"/>
    </row>
    <row r="272" spans="1:21" x14ac:dyDescent="0.2">
      <c r="A272" s="7"/>
      <c r="M272" s="7"/>
      <c r="O272" s="7"/>
      <c r="P272" s="7"/>
      <c r="Q272" s="7"/>
      <c r="R272" s="7"/>
      <c r="S272" s="7"/>
      <c r="T272" s="7"/>
      <c r="U272" s="7"/>
    </row>
    <row r="273" spans="1:21" x14ac:dyDescent="0.2">
      <c r="A273" s="7"/>
      <c r="M273" s="7"/>
      <c r="O273" s="7"/>
      <c r="P273" s="7"/>
      <c r="Q273" s="7"/>
      <c r="R273" s="7"/>
      <c r="S273" s="7"/>
      <c r="T273" s="7"/>
      <c r="U273" s="7"/>
    </row>
    <row r="274" spans="1:21" x14ac:dyDescent="0.2">
      <c r="A274" s="7"/>
      <c r="M274" s="7"/>
      <c r="O274" s="7"/>
      <c r="P274" s="7"/>
      <c r="Q274" s="7"/>
      <c r="R274" s="7"/>
      <c r="S274" s="7"/>
      <c r="T274" s="7"/>
      <c r="U274" s="7"/>
    </row>
    <row r="275" spans="1:21" x14ac:dyDescent="0.2">
      <c r="A275" s="7"/>
      <c r="O275" s="7"/>
      <c r="P275" s="7"/>
      <c r="Q275" s="7"/>
      <c r="R275" s="7"/>
      <c r="S275" s="7"/>
      <c r="T275" s="7"/>
      <c r="U275" s="7"/>
    </row>
    <row r="276" spans="1:21" x14ac:dyDescent="0.2">
      <c r="A276" s="7"/>
      <c r="O276" s="7"/>
      <c r="P276" s="7"/>
      <c r="Q276" s="7"/>
      <c r="R276" s="7"/>
      <c r="S276" s="7"/>
      <c r="T276" s="7"/>
      <c r="U276" s="7"/>
    </row>
    <row r="277" spans="1:21" x14ac:dyDescent="0.2">
      <c r="A277" s="7"/>
      <c r="O277" s="7"/>
      <c r="P277" s="7"/>
      <c r="Q277" s="7"/>
      <c r="R277" s="7"/>
      <c r="S277" s="7"/>
      <c r="T277" s="7"/>
      <c r="U277" s="7"/>
    </row>
    <row r="278" spans="1:21" x14ac:dyDescent="0.2">
      <c r="A278" s="7"/>
      <c r="O278" s="7"/>
      <c r="P278" s="7"/>
      <c r="Q278" s="7"/>
      <c r="R278" s="7"/>
      <c r="S278" s="7"/>
      <c r="T278" s="7"/>
      <c r="U278" s="7"/>
    </row>
    <row r="279" spans="1:21" x14ac:dyDescent="0.2">
      <c r="A279" s="7"/>
      <c r="O279" s="7"/>
      <c r="P279" s="7"/>
      <c r="Q279" s="7"/>
      <c r="R279" s="7"/>
      <c r="S279" s="7"/>
      <c r="T279" s="7"/>
      <c r="U279" s="7"/>
    </row>
    <row r="280" spans="1:21" x14ac:dyDescent="0.2">
      <c r="A280" s="7"/>
      <c r="O280" s="7"/>
      <c r="P280" s="7"/>
      <c r="Q280" s="7"/>
      <c r="R280" s="7"/>
      <c r="S280" s="7"/>
      <c r="T280" s="7"/>
      <c r="U280" s="7"/>
    </row>
    <row r="281" spans="1:21" x14ac:dyDescent="0.2">
      <c r="O281" s="7"/>
      <c r="P281" s="7"/>
      <c r="Q281" s="7"/>
      <c r="R281" s="7"/>
      <c r="S281" s="7"/>
      <c r="T281" s="7"/>
      <c r="U281" s="7"/>
    </row>
    <row r="282" spans="1:21" x14ac:dyDescent="0.2">
      <c r="O282" s="7"/>
      <c r="P282" s="7"/>
      <c r="Q282" s="7"/>
      <c r="R282" s="7"/>
      <c r="S282" s="7"/>
      <c r="T282" s="7"/>
      <c r="U282" s="7"/>
    </row>
    <row r="283" spans="1:21" x14ac:dyDescent="0.2">
      <c r="O283" s="7"/>
      <c r="P283" s="7"/>
      <c r="Q283" s="7"/>
      <c r="R283" s="7"/>
      <c r="S283" s="7"/>
      <c r="T283" s="7"/>
      <c r="U283" s="7"/>
    </row>
    <row r="284" spans="1:21" x14ac:dyDescent="0.2">
      <c r="O284" s="7"/>
      <c r="P284" s="7"/>
      <c r="Q284" s="7"/>
      <c r="R284" s="7"/>
      <c r="S284" s="7"/>
      <c r="T284" s="7"/>
      <c r="U284" s="7"/>
    </row>
    <row r="285" spans="1:21" x14ac:dyDescent="0.2">
      <c r="O285" s="7"/>
      <c r="P285" s="7"/>
      <c r="Q285" s="7"/>
      <c r="R285" s="7"/>
      <c r="S285" s="7"/>
      <c r="T285" s="7"/>
      <c r="U285" s="7"/>
    </row>
    <row r="286" spans="1:21" x14ac:dyDescent="0.2">
      <c r="Q286" s="7"/>
      <c r="R286" s="7"/>
      <c r="S286" s="7"/>
      <c r="T286" s="7"/>
      <c r="U286" s="7"/>
    </row>
    <row r="287" spans="1:21" x14ac:dyDescent="0.2">
      <c r="Q287" s="7"/>
      <c r="R287" s="7"/>
      <c r="S287" s="7"/>
      <c r="T287" s="7"/>
      <c r="U287" s="7"/>
    </row>
    <row r="288" spans="1:21" x14ac:dyDescent="0.2">
      <c r="Q288" s="7"/>
      <c r="R288" s="7"/>
      <c r="S288" s="7"/>
      <c r="T288" s="7"/>
      <c r="U288" s="7"/>
    </row>
    <row r="289" spans="17:21" x14ac:dyDescent="0.2">
      <c r="Q289" s="7"/>
      <c r="R289" s="7"/>
      <c r="S289" s="7"/>
      <c r="T289" s="7"/>
      <c r="U289" s="7"/>
    </row>
    <row r="290" spans="17:21" x14ac:dyDescent="0.2">
      <c r="Q290" s="7"/>
      <c r="R290" s="7"/>
      <c r="S290" s="7"/>
      <c r="T290" s="7"/>
      <c r="U290" s="7"/>
    </row>
    <row r="291" spans="17:21" x14ac:dyDescent="0.2">
      <c r="Q291" s="7"/>
      <c r="R291" s="7"/>
      <c r="S291" s="7"/>
      <c r="T291" s="7"/>
      <c r="U291" s="7"/>
    </row>
    <row r="292" spans="17:21" x14ac:dyDescent="0.2">
      <c r="Q292" s="7"/>
      <c r="R292" s="7"/>
      <c r="S292" s="7"/>
      <c r="T292" s="7"/>
      <c r="U292" s="7"/>
    </row>
    <row r="293" spans="17:21" x14ac:dyDescent="0.2">
      <c r="Q293" s="7"/>
      <c r="R293" s="7"/>
      <c r="S293" s="7"/>
      <c r="T293" s="7"/>
      <c r="U293" s="7"/>
    </row>
    <row r="294" spans="17:21" x14ac:dyDescent="0.2">
      <c r="Q294" s="7"/>
      <c r="R294" s="7"/>
      <c r="S294" s="7"/>
      <c r="T294" s="7"/>
      <c r="U294" s="7"/>
    </row>
    <row r="295" spans="17:21" x14ac:dyDescent="0.2">
      <c r="Q295" s="7"/>
      <c r="R295" s="7"/>
      <c r="S295" s="7"/>
      <c r="T295" s="7"/>
      <c r="U295" s="7"/>
    </row>
    <row r="296" spans="17:21" x14ac:dyDescent="0.2">
      <c r="Q296" s="7"/>
      <c r="R296" s="7"/>
      <c r="S296" s="7"/>
      <c r="T296" s="7"/>
      <c r="U296" s="7"/>
    </row>
    <row r="297" spans="17:21" x14ac:dyDescent="0.2">
      <c r="Q297" s="7"/>
      <c r="R297" s="7"/>
      <c r="S297" s="7"/>
      <c r="T297" s="7"/>
      <c r="U297" s="7"/>
    </row>
    <row r="298" spans="17:21" x14ac:dyDescent="0.2">
      <c r="Q298" s="7"/>
      <c r="R298" s="7"/>
      <c r="S298" s="7"/>
      <c r="T298" s="7"/>
    </row>
    <row r="299" spans="17:21" x14ac:dyDescent="0.2">
      <c r="Q299" s="7"/>
      <c r="R299" s="7"/>
      <c r="S299" s="7"/>
      <c r="T299" s="7"/>
    </row>
  </sheetData>
  <mergeCells count="27">
    <mergeCell ref="B3:G3"/>
    <mergeCell ref="E7:F7"/>
    <mergeCell ref="H8:I8"/>
    <mergeCell ref="B11:G11"/>
    <mergeCell ref="A1:G1"/>
    <mergeCell ref="H1:I1"/>
    <mergeCell ref="Q1:T1"/>
    <mergeCell ref="V1:AA1"/>
    <mergeCell ref="B2:C2"/>
    <mergeCell ref="H2:I2"/>
    <mergeCell ref="H14:I14"/>
    <mergeCell ref="V21:X21"/>
    <mergeCell ref="A22:G22"/>
    <mergeCell ref="W23:X23"/>
    <mergeCell ref="B31:G31"/>
    <mergeCell ref="V11:W11"/>
    <mergeCell ref="A12:G12"/>
    <mergeCell ref="B35:G35"/>
    <mergeCell ref="R77:T77"/>
    <mergeCell ref="E36:G36"/>
    <mergeCell ref="V39:Y39"/>
    <mergeCell ref="A44:G44"/>
    <mergeCell ref="V45:Y45"/>
    <mergeCell ref="V50:Y50"/>
    <mergeCell ref="B54:G54"/>
    <mergeCell ref="H59:I60"/>
    <mergeCell ref="J59:J60"/>
  </mergeCells>
  <conditionalFormatting sqref="A1">
    <cfRule type="containsText" dxfId="27" priority="44" operator="containsText" text="SHORT TO CLOSE">
      <formula>NOT(ISERROR(SEARCH("SHORT TO CLOSE",A1)))</formula>
    </cfRule>
  </conditionalFormatting>
  <conditionalFormatting sqref="B36">
    <cfRule type="containsBlanks" dxfId="26" priority="50">
      <formula>LEN(TRIM(B36))=0</formula>
    </cfRule>
  </conditionalFormatting>
  <conditionalFormatting sqref="B2:C2">
    <cfRule type="containsBlanks" dxfId="25" priority="68">
      <formula>LEN(TRIM(B2))=0</formula>
    </cfRule>
  </conditionalFormatting>
  <conditionalFormatting sqref="D23:D26">
    <cfRule type="containsBlanks" dxfId="24" priority="45">
      <formula>LEN(TRIM(D23))=0</formula>
    </cfRule>
  </conditionalFormatting>
  <conditionalFormatting sqref="E2 L6 L7:M9 L15 L18 L23:L27 L35 L44">
    <cfRule type="containsBlanks" dxfId="23" priority="69">
      <formula>LEN(TRIM(E2))=0</formula>
    </cfRule>
  </conditionalFormatting>
  <conditionalFormatting sqref="E45">
    <cfRule type="containsBlanks" dxfId="22" priority="53">
      <formula>LEN(TRIM(E45))=0</formula>
    </cfRule>
  </conditionalFormatting>
  <conditionalFormatting sqref="G5">
    <cfRule type="containsText" dxfId="21" priority="57" operator="containsText" text="Acquistion Approved">
      <formula>NOT(ISERROR(SEARCH("Acquistion Approved",G5)))</formula>
    </cfRule>
  </conditionalFormatting>
  <conditionalFormatting sqref="H1:I1">
    <cfRule type="containsText" dxfId="20" priority="39" operator="containsText" text="Date Created">
      <formula>NOT(ISERROR(SEARCH("Date Created",H1)))</formula>
    </cfRule>
  </conditionalFormatting>
  <conditionalFormatting sqref="H2:I2">
    <cfRule type="containsText" dxfId="19" priority="56" operator="containsText" text="Acquistion Approved">
      <formula>NOT(ISERROR(SEARCH("Acquistion Approved",H2)))</formula>
    </cfRule>
    <cfRule type="containsText" dxfId="18" priority="66" operator="containsText" text="Estimated Prelim">
      <formula>NOT(ISERROR(SEARCH("Estimated Prelim",H2)))</formula>
    </cfRule>
  </conditionalFormatting>
  <conditionalFormatting sqref="I9">
    <cfRule type="containsText" dxfId="17" priority="36" operator="containsText" text="No">
      <formula>NOT(ISERROR(SEARCH("No",I9)))</formula>
    </cfRule>
    <cfRule type="containsText" dxfId="16" priority="37" operator="containsText" text="Yes">
      <formula>NOT(ISERROR(SEARCH("Yes",I9)))</formula>
    </cfRule>
    <cfRule type="containsBlanks" dxfId="15" priority="38">
      <formula>LEN(TRIM(I9))=0</formula>
    </cfRule>
  </conditionalFormatting>
  <conditionalFormatting sqref="J1">
    <cfRule type="containsText" dxfId="14" priority="64" operator="containsText" text="Created by:">
      <formula>NOT(ISERROR(SEARCH("Created by:",J1)))</formula>
    </cfRule>
  </conditionalFormatting>
  <conditionalFormatting sqref="J2">
    <cfRule type="containsText" dxfId="13" priority="67" operator="containsText" text="Financing Type">
      <formula>NOT(ISERROR(SEARCH("Financing Type",J2)))</formula>
    </cfRule>
  </conditionalFormatting>
  <conditionalFormatting sqref="J4:J5 D13:D16 J36">
    <cfRule type="containsBlanks" dxfId="12" priority="51">
      <formula>LEN(TRIM(D4))=0</formula>
    </cfRule>
  </conditionalFormatting>
  <conditionalFormatting sqref="J11">
    <cfRule type="containsBlanks" dxfId="11" priority="35">
      <formula>LEN(TRIM(J11))=0</formula>
    </cfRule>
  </conditionalFormatting>
  <conditionalFormatting sqref="L1">
    <cfRule type="containsBlanks" dxfId="10" priority="65">
      <formula>LEN(TRIM(L1))=0</formula>
    </cfRule>
  </conditionalFormatting>
  <conditionalFormatting sqref="L30:L33">
    <cfRule type="containsBlanks" dxfId="9" priority="62">
      <formula>LEN(TRIM(L30))=0</formula>
    </cfRule>
  </conditionalFormatting>
  <conditionalFormatting sqref="L38:L39">
    <cfRule type="containsBlanks" dxfId="8" priority="60">
      <formula>LEN(TRIM(L38))=0</formula>
    </cfRule>
  </conditionalFormatting>
  <conditionalFormatting sqref="L41">
    <cfRule type="containsBlanks" dxfId="7" priority="61">
      <formula>LEN(TRIM(L41))=0</formula>
    </cfRule>
  </conditionalFormatting>
  <conditionalFormatting sqref="L47">
    <cfRule type="containsBlanks" dxfId="6" priority="59">
      <formula>LEN(TRIM(L47))=0</formula>
    </cfRule>
  </conditionalFormatting>
  <conditionalFormatting sqref="L49:L50">
    <cfRule type="containsBlanks" dxfId="5" priority="58">
      <formula>LEN(TRIM(L49))=0</formula>
    </cfRule>
  </conditionalFormatting>
  <conditionalFormatting sqref="M1 P1">
    <cfRule type="containsBlanks" dxfId="4" priority="70">
      <formula>LEN(TRIM(M1))=0</formula>
    </cfRule>
  </conditionalFormatting>
  <conditionalFormatting sqref="N3:P3 N5">
    <cfRule type="containsBlanks" dxfId="3" priority="63">
      <formula>LEN(TRIM(N3))=0</formula>
    </cfRule>
  </conditionalFormatting>
  <conditionalFormatting sqref="Q1">
    <cfRule type="containsText" dxfId="2" priority="55" operator="containsText" text="Closed  Date">
      <formula>NOT(ISERROR(SEARCH("Closed  Date",Q1)))</formula>
    </cfRule>
  </conditionalFormatting>
  <conditionalFormatting sqref="R77:T77">
    <cfRule type="containsBlanks" dxfId="1" priority="43">
      <formula>LEN(TRIM(R77))=0</formula>
    </cfRule>
  </conditionalFormatting>
  <conditionalFormatting sqref="W23:X23">
    <cfRule type="containsBlanks" dxfId="0" priority="54">
      <formula>LEN(TRIM(W23))=0</formula>
    </cfRule>
  </conditionalFormatting>
  <dataValidations count="7">
    <dataValidation type="list" allowBlank="1" showInputMessage="1" showErrorMessage="1" sqref="I9">
      <formula1>$Z$2:$Z$4</formula1>
    </dataValidation>
    <dataValidation type="list" allowBlank="1" showInputMessage="1" showErrorMessage="1" sqref="H2:I2">
      <formula1>$V$4:$V$8</formula1>
    </dataValidation>
    <dataValidation type="list" allowBlank="1" showInputMessage="1" showErrorMessage="1" sqref="U11:U60">
      <formula1>$X$3:$X$10</formula1>
    </dataValidation>
    <dataValidation type="list" allowBlank="1" showInputMessage="1" showErrorMessage="1" sqref="R77:T77">
      <formula1>$AA$3:$AA$10</formula1>
    </dataValidation>
    <dataValidation type="list" allowBlank="1" showInputMessage="1" showErrorMessage="1" sqref="J2">
      <formula1>$Y$3:$Y$9</formula1>
    </dataValidation>
    <dataValidation type="list" allowBlank="1" showInputMessage="1" showErrorMessage="1" sqref="C32">
      <formula1>$W$4:$W$8</formula1>
    </dataValidation>
    <dataValidation type="list" allowBlank="1" showInputMessage="1" showErrorMessage="1" sqref="J8 J14">
      <formula1>$Z$3:$Z$4</formula1>
    </dataValidation>
  </dataValidation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Sheet1</vt:lpstr>
      <vt:lpstr>DP_Expense</vt:lpstr>
      <vt:lpstr>Estimated_Loan_Fees_1st</vt:lpstr>
      <vt:lpstr>Estimated_Project_Time</vt:lpstr>
      <vt:lpstr>Estimated_Sales_Price</vt:lpstr>
      <vt:lpstr>Expense_Type</vt:lpstr>
      <vt:lpstr>Final_Sales_Price</vt:lpstr>
      <vt:lpstr>Financing_Type</vt:lpstr>
      <vt:lpstr>Fund_Control</vt:lpstr>
      <vt:lpstr>HS_Buyers_Agent_Commissions_Credit</vt:lpstr>
      <vt:lpstr>HS_HOA_Fees_Credit</vt:lpstr>
      <vt:lpstr>HS_Listing_Agents_Commissions_Credit</vt:lpstr>
      <vt:lpstr>HS_Per_Diem_Adjustment_Credit</vt:lpstr>
      <vt:lpstr>HS_Per_Diem_Adjustment_Debit</vt:lpstr>
      <vt:lpstr>HS_Seller_Credits_Credit</vt:lpstr>
      <vt:lpstr>HSU_Expense</vt:lpstr>
      <vt:lpstr>Interest_Rate_1st</vt:lpstr>
      <vt:lpstr>Loan_Fees___Appraisal_Fee_1st</vt:lpstr>
      <vt:lpstr>Loan_Origination_Fee_1st</vt:lpstr>
      <vt:lpstr>Net_Profit_to_HSUSA</vt:lpstr>
      <vt:lpstr>Points_1st_Loan</vt:lpstr>
      <vt:lpstr>Repair_Costs</vt:lpstr>
      <vt:lpstr>ROI_Adjustments</vt:lpstr>
      <vt:lpstr>Total_Lender_Costs</vt:lpstr>
      <vt:lpstr>Total_Purchase_Costs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Nordin</dc:creator>
  <cp:lastModifiedBy>cloudconvert_19</cp:lastModifiedBy>
  <cp:lastPrinted>2016-10-27T16:46:26Z</cp:lastPrinted>
  <dcterms:created xsi:type="dcterms:W3CDTF">2016-10-16T07:28:05Z</dcterms:created>
  <dcterms:modified xsi:type="dcterms:W3CDTF">2026-03-19T21:29:39Z</dcterms:modified>
</cp:coreProperties>
</file>